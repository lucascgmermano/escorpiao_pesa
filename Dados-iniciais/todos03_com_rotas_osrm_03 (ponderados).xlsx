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DOS COMPLETOS" sheetId="1" state="visible" r:id="rId3"/>
    <sheet name="REDUCAO" sheetId="2" state="visible" r:id="rId4"/>
    <sheet name="PONDERACAO" sheetId="3" state="visible" r:id="rId5"/>
    <sheet name="PONDERACAO_2" sheetId="4" state="visible" r:id="rId6"/>
    <sheet name="PONDERACAO_3" sheetId="5" state="visible" r:id="rId7"/>
  </sheets>
  <definedNames>
    <definedName function="false" hidden="true" localSheetId="0" name="_xlnm._FilterDatabase" vbProcedure="false">'DADOS COMPLETOS'!$A$1:$M$460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<sst xmlns="http://schemas.openxmlformats.org/spreadsheetml/2006/main" count="3508" uniqueCount="589">
  <si>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</si>
  <si>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</si>
  <si>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</si>
  <si>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</si>
  <si>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</si>
  <si>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</si>
  <si>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</si>
  <si>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</si>
  <si>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</si>
  <si>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</si>
  <si>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DIST_OSRM_KM</t>
  </si>
  <si>
    <t xml:space="preserve">TEMPO_OSRM_MIN</t>
  </si>
  <si>
    <t xml:space="preserve">STATUS_OSRM</t>
  </si>
  <si>
    <t xml:space="preserve">SAO JOSE DO RIO PRETO</t>
  </si>
  <si>
    <t xml:space="preserve">JOSE BONIFACIO</t>
  </si>
  <si>
    <t xml:space="preserve">ADOLFO</t>
  </si>
  <si>
    <t xml:space="preserve">TODOS</t>
  </si>
  <si>
    <t xml:space="preserve">ok</t>
  </si>
  <si>
    <t xml:space="preserve">PRESIDENTE PRUDENTE</t>
  </si>
  <si>
    <t xml:space="preserve">IEPE</t>
  </si>
  <si>
    <t xml:space="preserve">AGISSE</t>
  </si>
  <si>
    <t xml:space="preserve">SAO JOAO DA BOA VISTA</t>
  </si>
  <si>
    <t xml:space="preserve">AGUAI</t>
  </si>
  <si>
    <t xml:space="preserve">AGUAS DA PRATA</t>
  </si>
  <si>
    <t xml:space="preserve">BOTUCATU</t>
  </si>
  <si>
    <t xml:space="preserve">AVARE</t>
  </si>
  <si>
    <t xml:space="preserve">AGUAS DE SANTA BARBARA</t>
  </si>
  <si>
    <t xml:space="preserve">PIRACICABA</t>
  </si>
  <si>
    <t xml:space="preserve">SAO PEDRO</t>
  </si>
  <si>
    <t xml:space="preserve">AGUAS DE SAO PEDRO</t>
  </si>
  <si>
    <t xml:space="preserve">BAURU</t>
  </si>
  <si>
    <t xml:space="preserve">AGUDOS</t>
  </si>
  <si>
    <t xml:space="preserve">ATE 14 ANOS</t>
  </si>
  <si>
    <t xml:space="preserve">15 ANOS OU MAIS</t>
  </si>
  <si>
    <t xml:space="preserve">SOROCABA</t>
  </si>
  <si>
    <t xml:space="preserve">ITAPETININGA</t>
  </si>
  <si>
    <t xml:space="preserve">ALAMBARI</t>
  </si>
  <si>
    <t xml:space="preserve">ALFREDO MARCONDES</t>
  </si>
  <si>
    <t xml:space="preserve">broken</t>
  </si>
  <si>
    <t xml:space="preserve">BARRETOS</t>
  </si>
  <si>
    <t xml:space="preserve">OLIMPIA</t>
  </si>
  <si>
    <t xml:space="preserve">ALTAIR</t>
  </si>
  <si>
    <t xml:space="preserve">ARACATUBA</t>
  </si>
  <si>
    <t xml:space="preserve">PENAPOLIS</t>
  </si>
  <si>
    <t xml:space="preserve">ALTO ALEGRE</t>
  </si>
  <si>
    <t xml:space="preserve">ALUMINIO</t>
  </si>
  <si>
    <t xml:space="preserve">VOTUPORANGA</t>
  </si>
  <si>
    <t xml:space="preserve">ALVARES FLORENCE</t>
  </si>
  <si>
    <t xml:space="preserve">ALVAREZ MACHADO</t>
  </si>
  <si>
    <t xml:space="preserve">MARILIA</t>
  </si>
  <si>
    <t xml:space="preserve">ALVARO DE CARVALHO</t>
  </si>
  <si>
    <t xml:space="preserve">14 ANOS E MAIS</t>
  </si>
  <si>
    <t xml:space="preserve">ATE 13 ANOS</t>
  </si>
  <si>
    <t xml:space="preserve">ALVINLANDIA</t>
  </si>
  <si>
    <t xml:space="preserve">ARARAQUARA</t>
  </si>
  <si>
    <t xml:space="preserve">AMERICO BRASILIENSE</t>
  </si>
  <si>
    <t xml:space="preserve">AMERICO DE CAMPOS</t>
  </si>
  <si>
    <t xml:space="preserve">PIRASSUNUNGA</t>
  </si>
  <si>
    <t xml:space="preserve">ANALANDIA</t>
  </si>
  <si>
    <t xml:space="preserve">ANHEMBI</t>
  </si>
  <si>
    <t xml:space="preserve">ANHUMAS</t>
  </si>
  <si>
    <t xml:space="preserve">TAUBATE</t>
  </si>
  <si>
    <t xml:space="preserve">GUARATINGUETA</t>
  </si>
  <si>
    <t xml:space="preserve">APARECIDA</t>
  </si>
  <si>
    <t xml:space="preserve">JALES</t>
  </si>
  <si>
    <t xml:space="preserve">APARECIDA D'OESTE</t>
  </si>
  <si>
    <t xml:space="preserve">ARACARIGUAMA</t>
  </si>
  <si>
    <t xml:space="preserve">ARACOIABA DA SERRA</t>
  </si>
  <si>
    <t xml:space="preserve">FRANCA</t>
  </si>
  <si>
    <t xml:space="preserve">IGARAPAVA</t>
  </si>
  <si>
    <t xml:space="preserve">ARAMINA</t>
  </si>
  <si>
    <t xml:space="preserve">ARANDU</t>
  </si>
  <si>
    <t xml:space="preserve">SAO JOSE DO BARREIRO</t>
  </si>
  <si>
    <t xml:space="preserve">ARAPEI</t>
  </si>
  <si>
    <t xml:space="preserve">TUPA</t>
  </si>
  <si>
    <t xml:space="preserve">ARCO IRIS</t>
  </si>
  <si>
    <t xml:space="preserve">AREALVA</t>
  </si>
  <si>
    <t xml:space="preserve">CRUZEIRO</t>
  </si>
  <si>
    <t xml:space="preserve">AREIAS</t>
  </si>
  <si>
    <t xml:space="preserve">AREIOPOLIS</t>
  </si>
  <si>
    <t xml:space="preserve">CATANDUVA</t>
  </si>
  <si>
    <t xml:space="preserve">ARIRANHA</t>
  </si>
  <si>
    <t xml:space="preserve">CAMPINAS</t>
  </si>
  <si>
    <t xml:space="preserve">ARTUR NOGUEIRA</t>
  </si>
  <si>
    <t xml:space="preserve">MOGI DAS CRUZES</t>
  </si>
  <si>
    <t xml:space="preserve">GUARULHOS</t>
  </si>
  <si>
    <t xml:space="preserve">ARUJA</t>
  </si>
  <si>
    <t xml:space="preserve">ASPASIA</t>
  </si>
  <si>
    <t xml:space="preserve">AVAI</t>
  </si>
  <si>
    <t xml:space="preserve">AVANHANDAVA</t>
  </si>
  <si>
    <t xml:space="preserve">PIRAJUI</t>
  </si>
  <si>
    <t xml:space="preserve">BALBINOS</t>
  </si>
  <si>
    <t xml:space="preserve">TANABI</t>
  </si>
  <si>
    <t xml:space="preserve">BALSAMO</t>
  </si>
  <si>
    <t xml:space="preserve">TAQUARITUBA</t>
  </si>
  <si>
    <t xml:space="preserve">BARAO DE ANTONINA</t>
  </si>
  <si>
    <t xml:space="preserve">BARBOSA</t>
  </si>
  <si>
    <t xml:space="preserve">JAU</t>
  </si>
  <si>
    <t xml:space="preserve">BARIRI</t>
  </si>
  <si>
    <t xml:space="preserve">BARRA BONITA</t>
  </si>
  <si>
    <t xml:space="preserve">ITAPEVA</t>
  </si>
  <si>
    <t xml:space="preserve">APIAI</t>
  </si>
  <si>
    <t xml:space="preserve">BARRA DO CHAPEU</t>
  </si>
  <si>
    <t xml:space="preserve">RIBEIRAO PRETO</t>
  </si>
  <si>
    <t xml:space="preserve">SERTAOZINHO</t>
  </si>
  <si>
    <t xml:space="preserve">BARRINHA</t>
  </si>
  <si>
    <t xml:space="preserve">OSASCO</t>
  </si>
  <si>
    <t xml:space="preserve">SAO PAULO</t>
  </si>
  <si>
    <t xml:space="preserve">BARUERI</t>
  </si>
  <si>
    <t xml:space="preserve">BASTOS</t>
  </si>
  <si>
    <t xml:space="preserve">VALPARAISO</t>
  </si>
  <si>
    <t xml:space="preserve">BENTO DE ABREU </t>
  </si>
  <si>
    <t xml:space="preserve">ASSIS</t>
  </si>
  <si>
    <t xml:space="preserve">SANTA CRUZ DO RIO PARDO</t>
  </si>
  <si>
    <t xml:space="preserve">BERNARDINO DE CAMPOS</t>
  </si>
  <si>
    <t xml:space="preserve">CLEMENTINA</t>
  </si>
  <si>
    <t xml:space="preserve">BILAC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</si>
  <si>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</si>
  <si>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</si>
  <si>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</si>
  <si>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</si>
  <si>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TATUI</t>
  </si>
  <si>
    <t xml:space="preserve">BOITUVA</t>
  </si>
  <si>
    <t xml:space="preserve">ATIBAIA</t>
  </si>
  <si>
    <t xml:space="preserve">BOM JESUS DOS PERDOES</t>
  </si>
  <si>
    <t xml:space="preserve">BOM SUCESSO DE ITARARE</t>
  </si>
  <si>
    <t xml:space="preserve">PARAGUACU PAULISTA</t>
  </si>
  <si>
    <t xml:space="preserve">BORA</t>
  </si>
  <si>
    <t xml:space="preserve">BORACEIA</t>
  </si>
  <si>
    <t xml:space="preserve">IBITINGA</t>
  </si>
  <si>
    <t xml:space="preserve">BORBOREMA</t>
  </si>
  <si>
    <t xml:space="preserve">LENCOIS PAULISTA</t>
  </si>
  <si>
    <t xml:space="preserve">BOREBI</t>
  </si>
  <si>
    <t xml:space="preserve">BRAUNA</t>
  </si>
  <si>
    <t xml:space="preserve">BURITAMA</t>
  </si>
  <si>
    <t xml:space="preserve">BREJO ALEGRE</t>
  </si>
  <si>
    <t xml:space="preserve">BATATAIS</t>
  </si>
  <si>
    <t xml:space="preserve">BRODOWSKI</t>
  </si>
  <si>
    <t xml:space="preserve">BROTAS</t>
  </si>
  <si>
    <t xml:space="preserve">ITUVERAVA</t>
  </si>
  <si>
    <t xml:space="preserve">BURITIZAL</t>
  </si>
  <si>
    <t xml:space="preserve">DUARTINA</t>
  </si>
  <si>
    <t xml:space="preserve">CABRALIA PAULISTA</t>
  </si>
  <si>
    <t xml:space="preserve">JUNDIAI</t>
  </si>
  <si>
    <t xml:space="preserve">CABREUVA</t>
  </si>
  <si>
    <t xml:space="preserve">18 ANOS E MAIS</t>
  </si>
  <si>
    <t xml:space="preserve">ATE 17 ANOS</t>
  </si>
  <si>
    <t xml:space="preserve">LORENA</t>
  </si>
  <si>
    <t xml:space="preserve">CACHOEIRA PAULISTA</t>
  </si>
  <si>
    <t xml:space="preserve">LINS</t>
  </si>
  <si>
    <t xml:space="preserve">CAFELANDIA</t>
  </si>
  <si>
    <t xml:space="preserve">MARTINOPOLIS</t>
  </si>
  <si>
    <t xml:space="preserve">CAIABU</t>
  </si>
  <si>
    <t xml:space="preserve">PRESIDENTE VENCESLAU</t>
  </si>
  <si>
    <t xml:space="preserve">CAIUA</t>
  </si>
  <si>
    <t xml:space="preserve">CAJOBI</t>
  </si>
  <si>
    <t xml:space="preserve">ANGATUBA</t>
  </si>
  <si>
    <t xml:space="preserve">CAMPINA DO MONTE ALEGRE</t>
  </si>
  <si>
    <t xml:space="preserve">CAMPO LIMPO PAULISTA</t>
  </si>
  <si>
    <t xml:space="preserve">CAMPOS NOVOS PAULISTA</t>
  </si>
  <si>
    <t xml:space="preserve">CANAS</t>
  </si>
  <si>
    <t xml:space="preserve">CANDIDO MOTA</t>
  </si>
  <si>
    <t xml:space="preserve">TAQUARITINGA</t>
  </si>
  <si>
    <t xml:space="preserve">CANDIDO RODRIGUES</t>
  </si>
  <si>
    <t xml:space="preserve">OURINHOS</t>
  </si>
  <si>
    <t xml:space="preserve">CANITAR</t>
  </si>
  <si>
    <t xml:space="preserve">CAPELA DO ALTO</t>
  </si>
  <si>
    <t xml:space="preserve">CARAPICUIBA</t>
  </si>
  <si>
    <t xml:space="preserve">CARDOSO</t>
  </si>
  <si>
    <t xml:space="preserve">SAO JOSE DO RIO PARDO</t>
  </si>
  <si>
    <t xml:space="preserve">CASA BRANCA</t>
  </si>
  <si>
    <t xml:space="preserve">CAJURU</t>
  </si>
  <si>
    <t xml:space="preserve">CASSIA DOS COQUEIROS</t>
  </si>
  <si>
    <t xml:space="preserve">CATIGUA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</si>
  <si>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</si>
  <si>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</si>
  <si>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</si>
  <si>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</si>
  <si>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CHAVANTES</t>
  </si>
  <si>
    <t xml:space="preserve">ARARAS</t>
  </si>
  <si>
    <t xml:space="preserve">CONCHAL</t>
  </si>
  <si>
    <t xml:space="preserve">LIMEIRA</t>
  </si>
  <si>
    <t xml:space="preserve">CORDEIROPOLIS</t>
  </si>
  <si>
    <t xml:space="preserve">BIRIGUI</t>
  </si>
  <si>
    <t xml:space="preserve">COROADOS</t>
  </si>
  <si>
    <t xml:space="preserve">CORONEL MACEDO</t>
  </si>
  <si>
    <t xml:space="preserve">RIO CLARO</t>
  </si>
  <si>
    <t xml:space="preserve">CORUMBATAI</t>
  </si>
  <si>
    <t xml:space="preserve">AMERICANA</t>
  </si>
  <si>
    <t xml:space="preserve">COSMOPOLIS</t>
  </si>
  <si>
    <t xml:space="preserve">COSMORAMA</t>
  </si>
  <si>
    <t xml:space="preserve">CRISTAIS PAULISTA</t>
  </si>
  <si>
    <t xml:space="preserve">CRUZALIA</t>
  </si>
  <si>
    <t xml:space="preserve">PORTO FERREIRA</t>
  </si>
  <si>
    <t xml:space="preserve">DESCALVADO</t>
  </si>
  <si>
    <t xml:space="preserve">SANTO ANDRE</t>
  </si>
  <si>
    <t xml:space="preserve">SAO BERNARDO DO CAMPO</t>
  </si>
  <si>
    <t xml:space="preserve">DIADEMA</t>
  </si>
  <si>
    <t xml:space="preserve">DIRCE REIS</t>
  </si>
  <si>
    <t xml:space="preserve">CACONDE</t>
  </si>
  <si>
    <t xml:space="preserve">DIVINOLANDIA</t>
  </si>
  <si>
    <t xml:space="preserve">MATAO</t>
  </si>
  <si>
    <t xml:space="preserve">DOBRADA</t>
  </si>
  <si>
    <t xml:space="preserve">DOIS CORREGOS</t>
  </si>
  <si>
    <t xml:space="preserve">DOLCINOPOLIS</t>
  </si>
  <si>
    <t xml:space="preserve">SAO CARLOS</t>
  </si>
  <si>
    <t xml:space="preserve">DOURADO</t>
  </si>
  <si>
    <t xml:space="preserve">DUMONT</t>
  </si>
  <si>
    <t xml:space="preserve">ECHAPORA</t>
  </si>
  <si>
    <t xml:space="preserve">CAPIVARI</t>
  </si>
  <si>
    <t xml:space="preserve">ELIAS FAUSTO</t>
  </si>
  <si>
    <t xml:space="preserve">ELISIARIO</t>
  </si>
  <si>
    <t xml:space="preserve">TABAPUA</t>
  </si>
  <si>
    <t xml:space="preserve">EMBAUBA</t>
  </si>
  <si>
    <t xml:space="preserve">EMILIANOPOLIS</t>
  </si>
  <si>
    <t xml:space="preserve">ENGENHEIRO COELHO</t>
  </si>
  <si>
    <t xml:space="preserve">ESPIRITO SANTO DO TURVO</t>
  </si>
  <si>
    <t xml:space="preserve">MOGI GUACU</t>
  </si>
  <si>
    <t xml:space="preserve">ESTIVA GERBI</t>
  </si>
  <si>
    <t xml:space="preserve">FERNANDOPOLIS</t>
  </si>
  <si>
    <t xml:space="preserve">ESTRELA D'OESTE</t>
  </si>
  <si>
    <t xml:space="preserve">PIRAPOZINHO</t>
  </si>
  <si>
    <t xml:space="preserve">ESTRELA DO NORTE</t>
  </si>
  <si>
    <t xml:space="preserve">FERNANDO PRESTES</t>
  </si>
  <si>
    <t xml:space="preserve">FERNAO</t>
  </si>
  <si>
    <t xml:space="preserve">JUNQUEIROPOLIS</t>
  </si>
  <si>
    <t xml:space="preserve">FLORA RICA</t>
  </si>
  <si>
    <t xml:space="preserve">FLOREAL</t>
  </si>
  <si>
    <t xml:space="preserve">ADAMANTINA</t>
  </si>
  <si>
    <t xml:space="preserve">FLORIDA PAULISTA</t>
  </si>
  <si>
    <t xml:space="preserve">FLORINEA</t>
  </si>
  <si>
    <t xml:space="preserve">GABRIEL MONTEIRO</t>
  </si>
  <si>
    <t xml:space="preserve">GALIA</t>
  </si>
  <si>
    <t xml:space="preserve">GARCA</t>
  </si>
  <si>
    <t xml:space="preserve">GARDENIA</t>
  </si>
  <si>
    <t xml:space="preserve">GASTAO VIDIGAL</t>
  </si>
  <si>
    <t xml:space="preserve">GAVIAO PEIXOTO</t>
  </si>
  <si>
    <t xml:space="preserve">GETULINA</t>
  </si>
  <si>
    <t xml:space="preserve">GLICERIO</t>
  </si>
  <si>
    <t xml:space="preserve">GUAICARA</t>
  </si>
  <si>
    <t xml:space="preserve">GUAIMBE</t>
  </si>
  <si>
    <t xml:space="preserve">GUARA</t>
  </si>
  <si>
    <t xml:space="preserve">GUARACI</t>
  </si>
  <si>
    <t xml:space="preserve">GUARANI D'OESTE</t>
  </si>
  <si>
    <t xml:space="preserve">GUARANTA</t>
  </si>
  <si>
    <t xml:space="preserve">GUARAREMA</t>
  </si>
  <si>
    <t xml:space="preserve">GUAREI</t>
  </si>
  <si>
    <t xml:space="preserve">MONTE ALTO</t>
  </si>
  <si>
    <t xml:space="preserve">GUARIBA</t>
  </si>
  <si>
    <t xml:space="preserve">CRAVINHOS</t>
  </si>
  <si>
    <t xml:space="preserve">GUATAPARA</t>
  </si>
  <si>
    <t xml:space="preserve">AURIFLAMA</t>
  </si>
  <si>
    <t xml:space="preserve">GUZOLANDIA</t>
  </si>
  <si>
    <t xml:space="preserve">HERCULANDIA</t>
  </si>
  <si>
    <t xml:space="preserve">HOLAMBRA</t>
  </si>
  <si>
    <t xml:space="preserve">SUMARE</t>
  </si>
  <si>
    <t xml:space="preserve">HORTOLANDIA</t>
  </si>
  <si>
    <t xml:space="preserve">IACANGA</t>
  </si>
  <si>
    <t xml:space="preserve">IARAS</t>
  </si>
  <si>
    <t xml:space="preserve">IBATE</t>
  </si>
  <si>
    <t xml:space="preserve">IBIRAREMA</t>
  </si>
  <si>
    <t xml:space="preserve">PIEDADE</t>
  </si>
  <si>
    <t xml:space="preserve">IBIUNA</t>
  </si>
  <si>
    <t xml:space="preserve">NOVA GRANADA</t>
  </si>
  <si>
    <t xml:space="preserve">ICEM</t>
  </si>
  <si>
    <t xml:space="preserve">IGARACU DO TIETE</t>
  </si>
  <si>
    <t xml:space="preserve">SAO JOSE DOS CAMPOS</t>
  </si>
  <si>
    <t xml:space="preserve">JACAREI</t>
  </si>
  <si>
    <t xml:space="preserve">IGARATA</t>
  </si>
  <si>
    <t xml:space="preserve">INDIANA</t>
  </si>
  <si>
    <t xml:space="preserve">OUROESTE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</si>
  <si>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</si>
  <si>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</si>
  <si>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</si>
  <si>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</si>
  <si>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</si>
  <si>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IRACEMAPOLIS</t>
  </si>
  <si>
    <t xml:space="preserve">IRAPUA</t>
  </si>
  <si>
    <t xml:space="preserve">IRAPURU</t>
  </si>
  <si>
    <t xml:space="preserve">ITAI</t>
  </si>
  <si>
    <t xml:space="preserve">ITAJOBI</t>
  </si>
  <si>
    <t xml:space="preserve">ITAJU</t>
  </si>
  <si>
    <t xml:space="preserve">ITAOCA</t>
  </si>
  <si>
    <t xml:space="preserve">ITAPOLIS</t>
  </si>
  <si>
    <t xml:space="preserve">ITAPORANGA</t>
  </si>
  <si>
    <t xml:space="preserve">ITAPUI</t>
  </si>
  <si>
    <t xml:space="preserve">ILHA SOLTEIRA</t>
  </si>
  <si>
    <t xml:space="preserve">ITAPURA</t>
  </si>
  <si>
    <t xml:space="preserve">FERRAZ DE VASCONCELLOS </t>
  </si>
  <si>
    <t xml:space="preserve">ITAQUAQUECETUBA</t>
  </si>
  <si>
    <t xml:space="preserve">ITATINGA</t>
  </si>
  <si>
    <t xml:space="preserve">PATROCINIO PAULISTA</t>
  </si>
  <si>
    <t xml:space="preserve">ITIRAPUA</t>
  </si>
  <si>
    <t xml:space="preserve">ITOBI</t>
  </si>
  <si>
    <t xml:space="preserve">ITUPEVA</t>
  </si>
  <si>
    <t xml:space="preserve">JABORANDI</t>
  </si>
  <si>
    <t xml:space="preserve">JABOTICABAL</t>
  </si>
  <si>
    <t xml:space="preserve">JAGUARIUNA</t>
  </si>
  <si>
    <t xml:space="preserve">CACAPAVA</t>
  </si>
  <si>
    <t xml:space="preserve">JAMBEIRO</t>
  </si>
  <si>
    <t xml:space="preserve">JANDIRA</t>
  </si>
  <si>
    <t xml:space="preserve">JARDINOPOLIS</t>
  </si>
  <si>
    <t xml:space="preserve">JARINU</t>
  </si>
  <si>
    <t xml:space="preserve">PEDREGULHO</t>
  </si>
  <si>
    <t xml:space="preserve">JERIQUARA</t>
  </si>
  <si>
    <t xml:space="preserve">BRAGANCA PAULISTA</t>
  </si>
  <si>
    <t xml:space="preserve">JOANOPOLIS</t>
  </si>
  <si>
    <t xml:space="preserve">RANCHARIA</t>
  </si>
  <si>
    <t xml:space="preserve">JOAO RAMALHO</t>
  </si>
  <si>
    <t xml:space="preserve">JULIO MESQUITA</t>
  </si>
  <si>
    <t xml:space="preserve">JUMIRIM</t>
  </si>
  <si>
    <t xml:space="preserve">MIRANDOPOLIS</t>
  </si>
  <si>
    <t xml:space="preserve">LAVINIA</t>
  </si>
  <si>
    <t xml:space="preserve">LAVRINHAS</t>
  </si>
  <si>
    <t xml:space="preserve">AGUAS DE LINDOIA</t>
  </si>
  <si>
    <t xml:space="preserve">LINDOIA</t>
  </si>
  <si>
    <t xml:space="preserve">LOURDES</t>
  </si>
  <si>
    <t xml:space="preserve">LOUVEIRA</t>
  </si>
  <si>
    <t xml:space="preserve">LUCELIA</t>
  </si>
  <si>
    <t xml:space="preserve">LUCIANOPOLIS</t>
  </si>
  <si>
    <t xml:space="preserve">LUIZ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</si>
  <si>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</si>
  <si>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</si>
  <si>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</si>
  <si>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</si>
  <si>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</si>
  <si>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</si>
  <si>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</si>
  <si>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</si>
  <si>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</si>
  <si>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</si>
  <si>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</si>
  <si>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</si>
  <si>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</si>
  <si>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MARINOPOLIS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</si>
  <si>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</si>
  <si>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</si>
  <si>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</si>
  <si>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</si>
  <si>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</si>
  <si>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</si>
  <si>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 ESTRELA</t>
  </si>
  <si>
    <t xml:space="preserve">MOMBUCA</t>
  </si>
  <si>
    <t xml:space="preserve">MONCOES</t>
  </si>
  <si>
    <t xml:space="preserve">AMPARO</t>
  </si>
  <si>
    <t xml:space="preserve">MONTE ALEGRE DO SUL</t>
  </si>
  <si>
    <t xml:space="preserve">MONTE APRAZIVEL</t>
  </si>
  <si>
    <t xml:space="preserve">BEBEDOURO</t>
  </si>
  <si>
    <t xml:space="preserve">MONTE AZUL PAULISTA</t>
  </si>
  <si>
    <t xml:space="preserve">TUPI PAULISTA</t>
  </si>
  <si>
    <t xml:space="preserve">MONTE CASTELO</t>
  </si>
  <si>
    <t xml:space="preserve">INDAIATUBA</t>
  </si>
  <si>
    <t xml:space="preserve">MONTE MOR</t>
  </si>
  <si>
    <t xml:space="preserve">ITATIBA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</si>
  <si>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</si>
  <si>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</si>
  <si>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</si>
  <si>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</si>
  <si>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</si>
  <si>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</si>
  <si>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</si>
  <si>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NHANDEARA</t>
  </si>
  <si>
    <t xml:space="preserve">NIPOA</t>
  </si>
  <si>
    <t xml:space="preserve">NOVA CAMPINA</t>
  </si>
  <si>
    <t xml:space="preserve">SANTA FE DO SUL</t>
  </si>
  <si>
    <t xml:space="preserve">NOVA CANAA PAULISTA</t>
  </si>
  <si>
    <t xml:space="preserve">NOVA CASTILHO </t>
  </si>
  <si>
    <t xml:space="preserve">NOVA EUROPA </t>
  </si>
  <si>
    <t xml:space="preserve">NOVA GUATAPORANGA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</si>
  <si>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</si>
  <si>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</si>
  <si>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</si>
  <si>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</si>
  <si>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NOVA ODESSA</t>
  </si>
  <si>
    <t xml:space="preserve">NOVAIS</t>
  </si>
  <si>
    <t xml:space="preserve">ORLANDIA</t>
  </si>
  <si>
    <t xml:space="preserve">NUPORANGA</t>
  </si>
  <si>
    <t xml:space="preserve">OCAUCU</t>
  </si>
  <si>
    <t xml:space="preserve">OLEO</t>
  </si>
  <si>
    <t xml:space="preserve">ORIENTE</t>
  </si>
  <si>
    <t xml:space="preserve">ORINDIUVA</t>
  </si>
  <si>
    <t xml:space="preserve">OSCAR BRESSANE</t>
  </si>
  <si>
    <t xml:space="preserve">OSVALDO CRUZ</t>
  </si>
  <si>
    <t xml:space="preserve">DRACENA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</si>
  <si>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</si>
  <si>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</si>
  <si>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</si>
  <si>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</si>
  <si>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</si>
  <si>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</si>
  <si>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PARAISO</t>
  </si>
  <si>
    <t xml:space="preserve">PARANAPUA</t>
  </si>
  <si>
    <t xml:space="preserve">PARAPUA</t>
  </si>
  <si>
    <t xml:space="preserve">PARDINHO</t>
  </si>
  <si>
    <t xml:space="preserve">PARISI</t>
  </si>
  <si>
    <t xml:space="preserve">PANORAMA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</si>
  <si>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</si>
  <si>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</si>
  <si>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</si>
  <si>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</si>
  <si>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PEDEMEIRAS</t>
  </si>
  <si>
    <t xml:space="preserve">SOCORRO</t>
  </si>
  <si>
    <t xml:space="preserve">PEDRA BELA</t>
  </si>
  <si>
    <t xml:space="preserve">PEDRANOPOLIS</t>
  </si>
  <si>
    <t xml:space="preserve">PEDREIRA</t>
  </si>
  <si>
    <t xml:space="preserve">PEDRINHAS PAULISTA</t>
  </si>
  <si>
    <t xml:space="preserve">CONCHAS</t>
  </si>
  <si>
    <t xml:space="preserve">PEREIRAS</t>
  </si>
  <si>
    <t xml:space="preserve">PIACATU</t>
  </si>
  <si>
    <t xml:space="preserve">SAO MIGUEL ARCANJO</t>
  </si>
  <si>
    <t xml:space="preserve">PILAR DO SUL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</si>
  <si>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</si>
  <si>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</si>
  <si>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</si>
  <si>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</si>
  <si>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</si>
  <si>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PIRANGI</t>
  </si>
  <si>
    <t xml:space="preserve">ITAPEVI</t>
  </si>
  <si>
    <t xml:space="preserve">PIRAPORA DO BOM JESUS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</si>
  <si>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</si>
  <si>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</si>
  <si>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</si>
  <si>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</si>
  <si>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</si>
  <si>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</si>
  <si>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</si>
  <si>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</si>
  <si>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</si>
  <si>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</si>
  <si>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</si>
  <si>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</si>
  <si>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</si>
  <si>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</si>
  <si>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POTIM</t>
  </si>
  <si>
    <t xml:space="preserve">PRACINHA</t>
  </si>
  <si>
    <t xml:space="preserve">PRADOPOLIS</t>
  </si>
  <si>
    <t xml:space="preserve">PRATANIA</t>
  </si>
  <si>
    <t xml:space="preserve">PRESIDENTE ALVES</t>
  </si>
  <si>
    <t xml:space="preserve">PRESIDENTE BERNARDES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</si>
  <si>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</si>
  <si>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</si>
  <si>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</si>
  <si>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</si>
  <si>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</si>
  <si>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</si>
  <si>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</si>
  <si>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REDENCAO DA SERRA</t>
  </si>
  <si>
    <t xml:space="preserve">REGENTE FEIJO</t>
  </si>
  <si>
    <t xml:space="preserve">REGINOPOLIS</t>
  </si>
  <si>
    <t xml:space="preserve">RESTINGA</t>
  </si>
  <si>
    <t xml:space="preserve">RIBEIRA</t>
  </si>
  <si>
    <t xml:space="preserve">RIBEIRAO BONITO</t>
  </si>
  <si>
    <t xml:space="preserve">RIBEIRAO CORRENTE</t>
  </si>
  <si>
    <t xml:space="preserve">RIBEIRAO DO SUL</t>
  </si>
  <si>
    <t xml:space="preserve">SANTO ANASTACIO</t>
  </si>
  <si>
    <t xml:space="preserve">RIBEIRAO DOS INDIOS</t>
  </si>
  <si>
    <t xml:space="preserve">CAPAO BONITO</t>
  </si>
  <si>
    <t xml:space="preserve">RIBEIRAO GRANDE</t>
  </si>
  <si>
    <t xml:space="preserve">RIBEIRAO PIRES</t>
  </si>
  <si>
    <t xml:space="preserve">RIFAINA</t>
  </si>
  <si>
    <t xml:space="preserve">RINCAO</t>
  </si>
  <si>
    <t xml:space="preserve">RINOPOLIS</t>
  </si>
  <si>
    <t xml:space="preserve">RIO GRANDE DA SERRA</t>
  </si>
  <si>
    <t xml:space="preserve">ITARARE</t>
  </si>
  <si>
    <t xml:space="preserve">RIVERSUL</t>
  </si>
  <si>
    <t xml:space="preserve">ROSEIRA</t>
  </si>
  <si>
    <t xml:space="preserve">GUARARAPES</t>
  </si>
  <si>
    <t xml:space="preserve">RUBIACEA</t>
  </si>
  <si>
    <t xml:space="preserve">RUBINEIA</t>
  </si>
  <si>
    <t xml:space="preserve">SABINO</t>
  </si>
  <si>
    <t xml:space="preserve">SAGRES</t>
  </si>
  <si>
    <t xml:space="preserve">NOVO HORIZONTE</t>
  </si>
  <si>
    <t xml:space="preserve">SALES</t>
  </si>
  <si>
    <t xml:space="preserve">SALES OLIVEIRA</t>
  </si>
  <si>
    <t xml:space="preserve">SALMOURAO</t>
  </si>
  <si>
    <t xml:space="preserve">SALTINHO</t>
  </si>
  <si>
    <t xml:space="preserve">ITU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</si>
  <si>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</si>
  <si>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</si>
  <si>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</si>
  <si>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</si>
  <si>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</si>
  <si>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</si>
  <si>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BRANCA</t>
  </si>
  <si>
    <t xml:space="preserve">SANTA CLARA D'OESTE</t>
  </si>
  <si>
    <t xml:space="preserve">LEME</t>
  </si>
  <si>
    <t xml:space="preserve">SANTA CRUZ DA CONCEICAO</t>
  </si>
  <si>
    <t xml:space="preserve">SANTA CRUZ DA ESPERANCA</t>
  </si>
  <si>
    <t xml:space="preserve">SANTA ERNESTINA</t>
  </si>
  <si>
    <t xml:space="preserve">SANTA GERTRUDES</t>
  </si>
  <si>
    <t xml:space="preserve">SANTA LUCIA</t>
  </si>
  <si>
    <t xml:space="preserve">SANTA MARIA DA SERRA</t>
  </si>
  <si>
    <t xml:space="preserve">SANTA MERCEDES</t>
  </si>
  <si>
    <t xml:space="preserve">SANTA RITA D'OESTE</t>
  </si>
  <si>
    <t xml:space="preserve">SANTA ROSA DO VITERBO</t>
  </si>
  <si>
    <t xml:space="preserve">SANTA SALETE</t>
  </si>
  <si>
    <t xml:space="preserve">SANTANA DA PONTE PENSA</t>
  </si>
  <si>
    <t xml:space="preserve">SANTANA DE PARNAIBA</t>
  </si>
  <si>
    <t xml:space="preserve">ALTINOPOLIS</t>
  </si>
  <si>
    <t xml:space="preserve">SANTO ANTONIO DA ALEGRIA</t>
  </si>
  <si>
    <t xml:space="preserve">SANTO ANTONIO DE POSSE</t>
  </si>
  <si>
    <t xml:space="preserve">ESPIRITO SANTO DO PINHAL</t>
  </si>
  <si>
    <t xml:space="preserve">SANTO ANTONIO DO JARDIM</t>
  </si>
  <si>
    <t xml:space="preserve">CAMPOS DO JORDAO</t>
  </si>
  <si>
    <t xml:space="preserve">SANTO ANTONIO DO PINHAL</t>
  </si>
  <si>
    <t xml:space="preserve">SANTO EXPEDITO</t>
  </si>
  <si>
    <t xml:space="preserve">SANTOPOLIS DO AGUAPEI </t>
  </si>
  <si>
    <t xml:space="preserve">SAO CAETANO DO SUL</t>
  </si>
  <si>
    <t xml:space="preserve">SAO FRANCISCO</t>
  </si>
  <si>
    <t xml:space="preserve">SAO JOAO DAS DUAS PONTES</t>
  </si>
  <si>
    <t xml:space="preserve">SAO JOAO DE IRACEMA</t>
  </si>
  <si>
    <t xml:space="preserve">SAO JOAO DO PAU D'ALHO</t>
  </si>
  <si>
    <t xml:space="preserve">SAO JOSE DA BELA VISTA</t>
  </si>
  <si>
    <t xml:space="preserve">JUQUITIBA</t>
  </si>
  <si>
    <t xml:space="preserve">SAO LOURENCO DA SERRA</t>
  </si>
  <si>
    <t xml:space="preserve">SAO MANUEL</t>
  </si>
  <si>
    <t xml:space="preserve">SAO PEDRO DO TURVO</t>
  </si>
  <si>
    <t xml:space="preserve">SAO ROQUE</t>
  </si>
  <si>
    <t xml:space="preserve">SAO SEBASTIAO DA GRAMA</t>
  </si>
  <si>
    <t xml:space="preserve">SAO SIMAO</t>
  </si>
  <si>
    <t xml:space="preserve">SANTOS</t>
  </si>
  <si>
    <t xml:space="preserve">SAO VICENTE</t>
  </si>
  <si>
    <t xml:space="preserve">SARAPUI</t>
  </si>
  <si>
    <t xml:space="preserve">PIRAJU</t>
  </si>
  <si>
    <t xml:space="preserve">SARUTAIA</t>
  </si>
  <si>
    <t xml:space="preserve">SEBASTIANOPOLIS DO SUL</t>
  </si>
  <si>
    <t xml:space="preserve">SERRA AZUL</t>
  </si>
  <si>
    <t xml:space="preserve">SERRA NEGRA</t>
  </si>
  <si>
    <t xml:space="preserve">SERRANA</t>
  </si>
  <si>
    <t xml:space="preserve">SEVERINIA</t>
  </si>
  <si>
    <t xml:space="preserve">SILVEIRAS</t>
  </si>
  <si>
    <t xml:space="preserve">PEREIRA BARRETO</t>
  </si>
  <si>
    <t xml:space="preserve">SUD MENNUCCI </t>
  </si>
  <si>
    <t xml:space="preserve">SUZANAPOLIS</t>
  </si>
  <si>
    <t xml:space="preserve">SUZANO</t>
  </si>
  <si>
    <t xml:space="preserve">TABATINGA</t>
  </si>
  <si>
    <t xml:space="preserve">EMBU DAS ARTES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</si>
  <si>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</si>
  <si>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</si>
  <si>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</si>
  <si>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</si>
  <si>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</si>
  <si>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SANTA CRUZ DAS PALMEIRAS</t>
  </si>
  <si>
    <t xml:space="preserve">TAMBAU</t>
  </si>
  <si>
    <t xml:space="preserve">TAPIRAI</t>
  </si>
  <si>
    <t xml:space="preserve">TAPIRATIBA</t>
  </si>
  <si>
    <t xml:space="preserve">TAQUARAL</t>
  </si>
  <si>
    <t xml:space="preserve">TAQUARIVAI</t>
  </si>
  <si>
    <t xml:space="preserve">TARABAI</t>
  </si>
  <si>
    <t xml:space="preserve">TARUMA</t>
  </si>
  <si>
    <t xml:space="preserve">TEJUPA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</si>
  <si>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</si>
  <si>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</si>
  <si>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</si>
  <si>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</si>
  <si>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</si>
  <si>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</si>
  <si>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</si>
  <si>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</si>
  <si>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</si>
  <si>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TURIUBA</t>
  </si>
  <si>
    <t xml:space="preserve">TURMALINA</t>
  </si>
  <si>
    <t xml:space="preserve">UBARANA</t>
  </si>
  <si>
    <t xml:space="preserve">UBIRAJARA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</si>
  <si>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</si>
  <si>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</si>
  <si>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</si>
  <si>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</si>
  <si>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</si>
  <si>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</si>
  <si>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VARGEM</t>
  </si>
  <si>
    <t xml:space="preserve">VARGEM GRANDE DO SUL</t>
  </si>
  <si>
    <t xml:space="preserve">COTIA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</si>
  <si>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</si>
  <si>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</si>
  <si>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</si>
  <si>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</si>
  <si>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</si>
  <si>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</si>
  <si>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</si>
  <si>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</si>
  <si>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ZACARIAS</t>
  </si>
  <si>
    <t xml:space="preserve">PROP_MG</t>
  </si>
  <si>
    <t xml:space="preserve">CASOS</t>
  </si>
  <si>
    <t xml:space="preserve">TEMPO_POND</t>
  </si>
  <si>
    <t xml:space="preserve">DIST_POND</t>
  </si>
  <si>
    <t xml:space="preserve">PONDERADO</t>
  </si>
  <si>
    <t xml:space="preserve">PEDERNEIRAS</t>
  </si>
  <si>
    <t xml:space="preserve">PROP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</si>
</sst>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VERDADEIRO&quot;;&quot;VERDADEIRO&quot;;&quot;FALSO&quot;"/>
    <numFmt numFmtId="166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47"/>
    <col collapsed="false" customWidth="true" hidden="false" outlineLevel="0" max="9" min="9" style="1" width="8.92"/>
    <col collapsed="false" customWidth="true" hidden="false" outlineLevel="0" max="10" min="10" style="1" width="9.52"/>
    <col collapsed="false" customWidth="true" hidden="false" outlineLevel="0" max="11" min="11" style="1" width="14.37"/>
    <col collapsed="false" customWidth="true" hidden="false" outlineLevel="0" max="12" min="12" style="1" width="16.8"/>
    <col collapsed="false" customWidth="true" hidden="false" outlineLevel="0" max="13" min="13" style="1" width="13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true" customHeight="false" outlineLevel="0" collapsed="false">
      <c r="A2" s="1" t="n">
        <v>0</v>
      </c>
      <c r="B2" s="1" t="n">
        <v>0</v>
      </c>
      <c r="C2" s="1" t="s">
        <v>13</v>
      </c>
      <c r="D2" s="1" t="s">
        <v>14</v>
      </c>
      <c r="E2" s="1" t="s">
        <v>15</v>
      </c>
      <c r="F2" s="1" t="s">
        <v>16</v>
      </c>
      <c r="G2" s="1" t="n">
        <v>-21.2356597</v>
      </c>
      <c r="H2" s="1" t="n">
        <v>-49.6441918</v>
      </c>
      <c r="I2" s="1" t="n">
        <v>-21.0529053</v>
      </c>
      <c r="J2" s="1" t="n">
        <v>-49.6891417</v>
      </c>
      <c r="K2" s="1" t="n">
        <v>30.1</v>
      </c>
      <c r="L2" s="1" t="n">
        <v>30.4</v>
      </c>
      <c r="M2" s="1" t="s">
        <v>17</v>
      </c>
    </row>
    <row r="3" customFormat="false" ht="15" hidden="true" customHeight="false" outlineLevel="0" collapsed="false">
      <c r="A3" s="1" t="n">
        <v>0</v>
      </c>
      <c r="B3" s="1" t="n">
        <v>0</v>
      </c>
      <c r="C3" s="1" t="s">
        <v>18</v>
      </c>
      <c r="D3" s="1" t="s">
        <v>19</v>
      </c>
      <c r="E3" s="1" t="s">
        <v>20</v>
      </c>
      <c r="F3" s="1" t="s">
        <v>16</v>
      </c>
      <c r="G3" s="1" t="n">
        <v>-22.506</v>
      </c>
      <c r="H3" s="1" t="n">
        <v>-50.9377</v>
      </c>
      <c r="I3" s="1" t="n">
        <v>-22.6601033</v>
      </c>
      <c r="J3" s="1" t="n">
        <v>-51.0790603</v>
      </c>
      <c r="K3" s="1" t="n">
        <v>43.1</v>
      </c>
      <c r="L3" s="1" t="n">
        <v>46.8</v>
      </c>
      <c r="M3" s="1" t="s">
        <v>17</v>
      </c>
    </row>
    <row r="4" customFormat="false" ht="15" hidden="true" customHeight="false" outlineLevel="0" collapsed="false">
      <c r="A4" s="1" t="n">
        <v>0</v>
      </c>
      <c r="B4" s="1" t="n">
        <v>0</v>
      </c>
      <c r="C4" s="1" t="s">
        <v>21</v>
      </c>
      <c r="D4" s="1" t="s">
        <v>21</v>
      </c>
      <c r="E4" s="1" t="s">
        <v>22</v>
      </c>
      <c r="F4" s="1" t="s">
        <v>16</v>
      </c>
      <c r="G4" s="1" t="n">
        <v>-22.0592036</v>
      </c>
      <c r="H4" s="1" t="n">
        <v>-46.979384</v>
      </c>
      <c r="I4" s="1" t="n">
        <v>-21.9821955</v>
      </c>
      <c r="J4" s="1" t="n">
        <v>-46.7951574</v>
      </c>
      <c r="K4" s="1" t="n">
        <v>24.4</v>
      </c>
      <c r="L4" s="1" t="n">
        <v>19.9</v>
      </c>
      <c r="M4" s="1" t="s">
        <v>17</v>
      </c>
    </row>
    <row r="5" customFormat="false" ht="15" hidden="true" customHeight="false" outlineLevel="0" collapsed="false">
      <c r="A5" s="1" t="n">
        <v>0</v>
      </c>
      <c r="B5" s="1" t="n">
        <v>0</v>
      </c>
      <c r="C5" s="1" t="s">
        <v>21</v>
      </c>
      <c r="D5" s="1" t="s">
        <v>21</v>
      </c>
      <c r="E5" s="1" t="s">
        <v>23</v>
      </c>
      <c r="F5" s="1" t="s">
        <v>16</v>
      </c>
      <c r="G5" s="1" t="n">
        <v>-21.9464285</v>
      </c>
      <c r="H5" s="1" t="n">
        <v>-46.7192121</v>
      </c>
      <c r="I5" s="1" t="n">
        <v>-21.9821955</v>
      </c>
      <c r="J5" s="1" t="n">
        <v>-46.7951574</v>
      </c>
      <c r="K5" s="1" t="n">
        <v>9.9</v>
      </c>
      <c r="L5" s="1" t="n">
        <v>10.3</v>
      </c>
      <c r="M5" s="1" t="s">
        <v>17</v>
      </c>
    </row>
    <row r="6" customFormat="false" ht="15" hidden="true" customHeight="false" outlineLevel="0" collapsed="false">
      <c r="A6" s="1" t="n">
        <v>0</v>
      </c>
      <c r="B6" s="1" t="n">
        <v>0</v>
      </c>
      <c r="C6" s="1" t="s">
        <v>24</v>
      </c>
      <c r="D6" s="1" t="s">
        <v>25</v>
      </c>
      <c r="E6" s="1" t="s">
        <v>26</v>
      </c>
      <c r="F6" s="1" t="s">
        <v>16</v>
      </c>
      <c r="G6" s="1" t="n">
        <v>-22.8821912</v>
      </c>
      <c r="H6" s="1" t="n">
        <v>-49.2383956</v>
      </c>
      <c r="I6" s="1" t="n">
        <v>-23.1036883</v>
      </c>
      <c r="J6" s="1" t="n">
        <v>-48.9287403</v>
      </c>
      <c r="K6" s="1" t="n">
        <v>48.3</v>
      </c>
      <c r="L6" s="1" t="n">
        <v>50</v>
      </c>
      <c r="M6" s="1" t="s">
        <v>17</v>
      </c>
    </row>
    <row r="7" customFormat="false" ht="15" hidden="true" customHeight="false" outlineLevel="0" collapsed="false">
      <c r="A7" s="1" t="n">
        <v>0</v>
      </c>
      <c r="B7" s="1" t="n">
        <v>0</v>
      </c>
      <c r="C7" s="1" t="s">
        <v>27</v>
      </c>
      <c r="D7" s="1" t="s">
        <v>28</v>
      </c>
      <c r="E7" s="1" t="s">
        <v>29</v>
      </c>
      <c r="F7" s="1" t="s">
        <v>16</v>
      </c>
      <c r="G7" s="1" t="n">
        <v>-22.6000681</v>
      </c>
      <c r="H7" s="1" t="n">
        <v>-47.8750887</v>
      </c>
      <c r="I7" s="1" t="n">
        <v>-22.5480833</v>
      </c>
      <c r="J7" s="1" t="n">
        <v>-47.914176</v>
      </c>
      <c r="K7" s="1" t="n">
        <v>8.5</v>
      </c>
      <c r="L7" s="1" t="n">
        <v>7.4</v>
      </c>
      <c r="M7" s="1" t="s">
        <v>17</v>
      </c>
    </row>
    <row r="8" customFormat="false" ht="15" hidden="true" customHeight="false" outlineLevel="0" collapsed="false">
      <c r="A8" s="1" t="n">
        <v>0</v>
      </c>
      <c r="B8" s="1" t="n">
        <v>1</v>
      </c>
      <c r="C8" s="1" t="s">
        <v>30</v>
      </c>
      <c r="D8" s="1" t="s">
        <v>30</v>
      </c>
      <c r="E8" s="1" t="s">
        <v>31</v>
      </c>
      <c r="F8" s="1" t="s">
        <v>32</v>
      </c>
      <c r="G8" s="1" t="n">
        <v>-22.4719836</v>
      </c>
      <c r="H8" s="1" t="n">
        <v>-48.9884476</v>
      </c>
      <c r="I8" s="1" t="n">
        <v>-22.3088056</v>
      </c>
      <c r="J8" s="1" t="n">
        <v>-49.0897729</v>
      </c>
      <c r="K8" s="1" t="n">
        <v>24.9</v>
      </c>
      <c r="L8" s="1" t="n">
        <v>23</v>
      </c>
      <c r="M8" s="1" t="s">
        <v>17</v>
      </c>
    </row>
    <row r="9" customFormat="false" ht="15" hidden="true" customHeight="false" outlineLevel="0" collapsed="false">
      <c r="A9" s="1" t="n">
        <v>0</v>
      </c>
      <c r="B9" s="1" t="n">
        <v>1</v>
      </c>
      <c r="C9" s="1" t="s">
        <v>30</v>
      </c>
      <c r="D9" s="1" t="s">
        <v>30</v>
      </c>
      <c r="E9" s="1" t="s">
        <v>31</v>
      </c>
      <c r="F9" s="1" t="s">
        <v>33</v>
      </c>
      <c r="G9" s="1" t="n">
        <v>-22.4719836</v>
      </c>
      <c r="H9" s="1" t="n">
        <v>-48.9884476</v>
      </c>
      <c r="I9" s="1" t="n">
        <v>-22.3305675</v>
      </c>
      <c r="J9" s="1" t="n">
        <v>-49.0775289</v>
      </c>
      <c r="K9" s="1" t="n">
        <v>21.4</v>
      </c>
      <c r="L9" s="1" t="n">
        <v>18.6</v>
      </c>
      <c r="M9" s="1" t="s">
        <v>17</v>
      </c>
    </row>
    <row r="10" customFormat="false" ht="15" hidden="true" customHeight="false" outlineLevel="0" collapsed="false">
      <c r="A10" s="1" t="n">
        <v>0</v>
      </c>
      <c r="B10" s="1" t="n">
        <v>0</v>
      </c>
      <c r="C10" s="1" t="s">
        <v>34</v>
      </c>
      <c r="D10" s="1" t="s">
        <v>35</v>
      </c>
      <c r="E10" s="1" t="s">
        <v>36</v>
      </c>
      <c r="F10" s="1" t="s">
        <v>16</v>
      </c>
      <c r="G10" s="1" t="n">
        <v>-23.550338</v>
      </c>
      <c r="H10" s="1" t="n">
        <v>-47.897971</v>
      </c>
      <c r="I10" s="1" t="n">
        <v>-23.584442</v>
      </c>
      <c r="J10" s="1" t="n">
        <v>-48.0453462</v>
      </c>
      <c r="K10" s="1" t="n">
        <v>21.6</v>
      </c>
      <c r="L10" s="1" t="n">
        <v>24.3</v>
      </c>
      <c r="M10" s="1" t="s">
        <v>17</v>
      </c>
    </row>
    <row r="11" customFormat="false" ht="15" hidden="true" customHeight="false" outlineLevel="0" collapsed="false">
      <c r="A11" s="1" t="n">
        <v>0</v>
      </c>
      <c r="B11" s="1" t="n">
        <v>1</v>
      </c>
      <c r="C11" s="1" t="s">
        <v>18</v>
      </c>
      <c r="D11" s="1" t="s">
        <v>18</v>
      </c>
      <c r="E11" s="1" t="s">
        <v>37</v>
      </c>
      <c r="F11" s="1" t="s">
        <v>16</v>
      </c>
      <c r="G11" s="1" t="n">
        <v>-21.9527</v>
      </c>
      <c r="H11" s="1" t="n">
        <v>-51.413956</v>
      </c>
      <c r="I11" s="1" t="n">
        <v>-21.8815311</v>
      </c>
      <c r="J11" s="1" t="n">
        <v>-50.9535192</v>
      </c>
      <c r="K11" s="1" t="n">
        <v>30</v>
      </c>
      <c r="L11" s="1" t="n">
        <v>30</v>
      </c>
      <c r="M11" s="1" t="s">
        <v>38</v>
      </c>
    </row>
    <row r="12" customFormat="false" ht="15" hidden="true" customHeight="false" outlineLevel="0" collapsed="false">
      <c r="A12" s="1" t="n">
        <v>0</v>
      </c>
      <c r="B12" s="1" t="n">
        <v>0</v>
      </c>
      <c r="C12" s="1" t="s">
        <v>39</v>
      </c>
      <c r="D12" s="1" t="s">
        <v>40</v>
      </c>
      <c r="E12" s="1" t="s">
        <v>41</v>
      </c>
      <c r="F12" s="1" t="s">
        <v>16</v>
      </c>
      <c r="G12" s="1" t="n">
        <v>-20.5238955</v>
      </c>
      <c r="H12" s="1" t="n">
        <v>-49.0606135</v>
      </c>
      <c r="I12" s="1" t="n">
        <v>-20.7391605987288</v>
      </c>
      <c r="J12" s="1" t="n">
        <v>-48.9064223670385</v>
      </c>
      <c r="K12" s="1" t="n">
        <v>36.9</v>
      </c>
      <c r="L12" s="1" t="n">
        <v>36.3</v>
      </c>
      <c r="M12" s="1" t="s">
        <v>17</v>
      </c>
    </row>
    <row r="13" customFormat="false" ht="15" hidden="true" customHeight="false" outlineLevel="0" collapsed="false">
      <c r="A13" s="1" t="n">
        <v>0</v>
      </c>
      <c r="B13" s="1" t="n">
        <v>0</v>
      </c>
      <c r="C13" s="1" t="s">
        <v>42</v>
      </c>
      <c r="D13" s="1" t="s">
        <v>43</v>
      </c>
      <c r="E13" s="1" t="s">
        <v>44</v>
      </c>
      <c r="F13" s="1" t="s">
        <v>16</v>
      </c>
      <c r="G13" s="1" t="n">
        <v>-21.5820592</v>
      </c>
      <c r="H13" s="1" t="n">
        <v>-50.1661976</v>
      </c>
      <c r="I13" s="1" t="n">
        <v>-21.4164035</v>
      </c>
      <c r="J13" s="1" t="n">
        <v>-50.0649111</v>
      </c>
      <c r="K13" s="1" t="n">
        <v>23.5</v>
      </c>
      <c r="L13" s="1" t="n">
        <v>25.7</v>
      </c>
      <c r="M13" s="1" t="s">
        <v>17</v>
      </c>
    </row>
    <row r="14" customFormat="false" ht="15" hidden="true" customHeight="false" outlineLevel="0" collapsed="false">
      <c r="A14" s="1" t="n">
        <v>0</v>
      </c>
      <c r="B14" s="1" t="n">
        <v>0</v>
      </c>
      <c r="C14" s="1" t="s">
        <v>34</v>
      </c>
      <c r="D14" s="1" t="s">
        <v>34</v>
      </c>
      <c r="E14" s="1" t="s">
        <v>45</v>
      </c>
      <c r="F14" s="1" t="s">
        <v>16</v>
      </c>
      <c r="G14" s="1" t="n">
        <v>-23.5203479</v>
      </c>
      <c r="H14" s="1" t="n">
        <v>-47.2575256</v>
      </c>
      <c r="I14" s="1" t="n">
        <v>-23.5178154</v>
      </c>
      <c r="J14" s="1" t="n">
        <v>-47.4531223</v>
      </c>
      <c r="K14" s="1" t="n">
        <v>28.7</v>
      </c>
      <c r="L14" s="1" t="n">
        <v>28.1</v>
      </c>
      <c r="M14" s="1" t="s">
        <v>17</v>
      </c>
    </row>
    <row r="15" customFormat="false" ht="15" hidden="true" customHeight="false" outlineLevel="0" collapsed="false">
      <c r="A15" s="1" t="n">
        <v>0</v>
      </c>
      <c r="B15" s="1" t="n">
        <v>0</v>
      </c>
      <c r="C15" s="1" t="s">
        <v>13</v>
      </c>
      <c r="D15" s="1" t="s">
        <v>46</v>
      </c>
      <c r="E15" s="1" t="s">
        <v>47</v>
      </c>
      <c r="F15" s="1" t="s">
        <v>16</v>
      </c>
      <c r="G15" s="1" t="n">
        <v>-20.2936023</v>
      </c>
      <c r="H15" s="1" t="n">
        <v>-49.9330156</v>
      </c>
      <c r="I15" s="1" t="n">
        <v>-20.4262217</v>
      </c>
      <c r="J15" s="1" t="n">
        <v>-49.9787386</v>
      </c>
      <c r="K15" s="1" t="n">
        <v>19</v>
      </c>
      <c r="L15" s="1" t="n">
        <v>24.1</v>
      </c>
      <c r="M15" s="1" t="s">
        <v>17</v>
      </c>
    </row>
    <row r="16" customFormat="false" ht="15" hidden="true" customHeight="false" outlineLevel="0" collapsed="false">
      <c r="A16" s="1" t="n">
        <v>0</v>
      </c>
      <c r="B16" s="1" t="n">
        <v>1</v>
      </c>
      <c r="C16" s="1" t="s">
        <v>18</v>
      </c>
      <c r="D16" s="1" t="s">
        <v>18</v>
      </c>
      <c r="E16" s="1" t="s">
        <v>48</v>
      </c>
      <c r="F16" s="1" t="s">
        <v>16</v>
      </c>
      <c r="G16" s="1" t="n">
        <v>-22.0766673887943</v>
      </c>
      <c r="H16" s="1" t="n">
        <v>-51.4714050591318</v>
      </c>
      <c r="I16" s="1" t="n">
        <v>-22.1321613052015</v>
      </c>
      <c r="J16" s="1" t="n">
        <v>-51.4073413591303</v>
      </c>
      <c r="K16" s="1" t="n">
        <v>13.4</v>
      </c>
      <c r="L16" s="1" t="n">
        <v>13.6</v>
      </c>
      <c r="M16" s="1" t="s">
        <v>17</v>
      </c>
    </row>
    <row r="17" customFormat="false" ht="15" hidden="false" customHeight="false" outlineLevel="0" collapsed="false">
      <c r="A17" s="1" t="n">
        <v>0</v>
      </c>
      <c r="B17" s="1" t="n">
        <v>1</v>
      </c>
      <c r="C17" s="1" t="s">
        <v>49</v>
      </c>
      <c r="D17" s="1" t="s">
        <v>49</v>
      </c>
      <c r="E17" s="1" t="s">
        <v>50</v>
      </c>
      <c r="F17" s="1" t="s">
        <v>51</v>
      </c>
      <c r="G17" s="1" t="n">
        <v>-22.0787992</v>
      </c>
      <c r="H17" s="1" t="n">
        <v>-49.7194861</v>
      </c>
      <c r="I17" s="1" t="n">
        <v>-22.227114</v>
      </c>
      <c r="J17" s="1" t="n">
        <v>-49.9359818</v>
      </c>
      <c r="K17" s="1" t="n">
        <v>49.7</v>
      </c>
      <c r="L17" s="1" t="n">
        <v>45.9</v>
      </c>
      <c r="M17" s="1" t="s">
        <v>17</v>
      </c>
    </row>
    <row r="18" customFormat="false" ht="15" hidden="false" customHeight="false" outlineLevel="0" collapsed="false">
      <c r="A18" s="1" t="n">
        <v>0</v>
      </c>
      <c r="B18" s="1" t="n">
        <v>1</v>
      </c>
      <c r="C18" s="1" t="s">
        <v>49</v>
      </c>
      <c r="D18" s="1" t="s">
        <v>49</v>
      </c>
      <c r="E18" s="1" t="s">
        <v>50</v>
      </c>
      <c r="F18" s="1" t="s">
        <v>52</v>
      </c>
      <c r="G18" s="1" t="n">
        <v>-22.0787992</v>
      </c>
      <c r="H18" s="1" t="n">
        <v>-49.7194861</v>
      </c>
      <c r="I18" s="1" t="n">
        <v>-22.224027</v>
      </c>
      <c r="J18" s="1" t="n">
        <v>-49.9472085</v>
      </c>
      <c r="K18" s="1" t="n">
        <v>45.5</v>
      </c>
      <c r="L18" s="1" t="n">
        <v>45.1</v>
      </c>
      <c r="M18" s="1" t="s">
        <v>17</v>
      </c>
    </row>
    <row r="19" customFormat="false" ht="15" hidden="false" customHeight="false" outlineLevel="0" collapsed="false">
      <c r="A19" s="1" t="n">
        <v>0</v>
      </c>
      <c r="B19" s="1" t="n">
        <v>1</v>
      </c>
      <c r="C19" s="1" t="s">
        <v>49</v>
      </c>
      <c r="D19" s="1" t="s">
        <v>49</v>
      </c>
      <c r="E19" s="1" t="s">
        <v>53</v>
      </c>
      <c r="F19" s="1" t="s">
        <v>51</v>
      </c>
      <c r="G19" s="1" t="n">
        <v>-22.4431852</v>
      </c>
      <c r="H19" s="1" t="n">
        <v>-49.7643596</v>
      </c>
      <c r="I19" s="1" t="n">
        <v>-22.227114</v>
      </c>
      <c r="J19" s="1" t="n">
        <v>-49.9359818</v>
      </c>
      <c r="K19" s="1" t="n">
        <v>43.3</v>
      </c>
      <c r="L19" s="1" t="n">
        <v>42.1</v>
      </c>
      <c r="M19" s="1" t="s">
        <v>17</v>
      </c>
    </row>
    <row r="20" customFormat="false" ht="15" hidden="false" customHeight="false" outlineLevel="0" collapsed="false">
      <c r="A20" s="1" t="n">
        <v>0</v>
      </c>
      <c r="B20" s="1" t="n">
        <v>1</v>
      </c>
      <c r="C20" s="1" t="s">
        <v>49</v>
      </c>
      <c r="D20" s="1" t="s">
        <v>49</v>
      </c>
      <c r="E20" s="1" t="s">
        <v>53</v>
      </c>
      <c r="F20" s="1" t="s">
        <v>52</v>
      </c>
      <c r="G20" s="1" t="n">
        <v>-22.4431852</v>
      </c>
      <c r="H20" s="1" t="n">
        <v>-49.7643596</v>
      </c>
      <c r="I20" s="1" t="n">
        <v>-22.224027</v>
      </c>
      <c r="J20" s="1" t="n">
        <v>-49.9472085</v>
      </c>
      <c r="K20" s="1" t="n">
        <v>44.3</v>
      </c>
      <c r="L20" s="1" t="n">
        <v>41.7</v>
      </c>
      <c r="M20" s="1" t="s">
        <v>17</v>
      </c>
    </row>
    <row r="21" customFormat="false" ht="15" hidden="true" customHeight="false" outlineLevel="0" collapsed="false">
      <c r="A21" s="1" t="n">
        <v>0</v>
      </c>
      <c r="B21" s="1" t="n">
        <v>0</v>
      </c>
      <c r="C21" s="1" t="s">
        <v>54</v>
      </c>
      <c r="D21" s="1" t="s">
        <v>54</v>
      </c>
      <c r="E21" s="1" t="s">
        <v>55</v>
      </c>
      <c r="F21" s="1" t="s">
        <v>16</v>
      </c>
      <c r="G21" s="1" t="n">
        <v>-21.7297099</v>
      </c>
      <c r="H21" s="1" t="n">
        <v>-48.1052092</v>
      </c>
      <c r="I21" s="1" t="n">
        <v>-21.8050425399424</v>
      </c>
      <c r="J21" s="1" t="n">
        <v>-48.1712910931619</v>
      </c>
      <c r="K21" s="1" t="n">
        <v>13.3</v>
      </c>
      <c r="L21" s="1" t="n">
        <v>16.5</v>
      </c>
      <c r="M21" s="1" t="s">
        <v>17</v>
      </c>
    </row>
    <row r="22" customFormat="false" ht="15" hidden="true" customHeight="false" outlineLevel="0" collapsed="false">
      <c r="A22" s="1" t="n">
        <v>0</v>
      </c>
      <c r="B22" s="1" t="n">
        <v>0</v>
      </c>
      <c r="C22" s="1" t="s">
        <v>13</v>
      </c>
      <c r="D22" s="1" t="s">
        <v>46</v>
      </c>
      <c r="E22" s="1" t="s">
        <v>56</v>
      </c>
      <c r="F22" s="1" t="s">
        <v>16</v>
      </c>
      <c r="G22" s="1" t="n">
        <v>-20.298476</v>
      </c>
      <c r="H22" s="1" t="n">
        <v>-49.735904</v>
      </c>
      <c r="I22" s="1" t="n">
        <v>-20.4262217</v>
      </c>
      <c r="J22" s="1" t="n">
        <v>-49.9787386</v>
      </c>
      <c r="K22" s="1" t="n">
        <v>37.1</v>
      </c>
      <c r="L22" s="1" t="n">
        <v>34.3</v>
      </c>
      <c r="M22" s="1" t="s">
        <v>17</v>
      </c>
    </row>
    <row r="23" customFormat="false" ht="15" hidden="true" customHeight="false" outlineLevel="0" collapsed="false">
      <c r="A23" s="1" t="n">
        <v>0</v>
      </c>
      <c r="B23" s="1" t="n">
        <v>0</v>
      </c>
      <c r="C23" s="1" t="s">
        <v>27</v>
      </c>
      <c r="D23" s="1" t="s">
        <v>57</v>
      </c>
      <c r="E23" s="1" t="s">
        <v>58</v>
      </c>
      <c r="F23" s="1" t="s">
        <v>16</v>
      </c>
      <c r="G23" s="1" t="n">
        <v>-22.128917</v>
      </c>
      <c r="H23" s="1" t="n">
        <v>-47.661939</v>
      </c>
      <c r="I23" s="1" t="n">
        <v>-22.006323</v>
      </c>
      <c r="J23" s="1" t="n">
        <v>-47.4215713</v>
      </c>
      <c r="K23" s="1" t="n">
        <v>33.7</v>
      </c>
      <c r="L23" s="1" t="n">
        <v>32.9</v>
      </c>
      <c r="M23" s="1" t="s">
        <v>17</v>
      </c>
    </row>
    <row r="24" customFormat="false" ht="15" hidden="true" customHeight="false" outlineLevel="0" collapsed="false">
      <c r="A24" s="1" t="n">
        <v>0</v>
      </c>
      <c r="B24" s="1" t="n">
        <v>0</v>
      </c>
      <c r="C24" s="1" t="s">
        <v>24</v>
      </c>
      <c r="D24" s="1" t="s">
        <v>24</v>
      </c>
      <c r="E24" s="1" t="s">
        <v>59</v>
      </c>
      <c r="F24" s="1" t="s">
        <v>16</v>
      </c>
      <c r="G24" s="1" t="n">
        <v>-22.7891096</v>
      </c>
      <c r="H24" s="1" t="n">
        <v>-48.1316776</v>
      </c>
      <c r="I24" s="1" t="n">
        <v>-22.8913439388248</v>
      </c>
      <c r="J24" s="1" t="n">
        <v>-48.4962954591084</v>
      </c>
      <c r="K24" s="1" t="n">
        <v>57.1</v>
      </c>
      <c r="L24" s="1" t="n">
        <v>54.9</v>
      </c>
      <c r="M24" s="1" t="s">
        <v>17</v>
      </c>
    </row>
    <row r="25" customFormat="false" ht="15" hidden="true" customHeight="false" outlineLevel="0" collapsed="false">
      <c r="A25" s="1" t="n">
        <v>0</v>
      </c>
      <c r="B25" s="1" t="n">
        <v>1</v>
      </c>
      <c r="C25" s="1" t="s">
        <v>18</v>
      </c>
      <c r="D25" s="1" t="s">
        <v>18</v>
      </c>
      <c r="E25" s="1" t="s">
        <v>60</v>
      </c>
      <c r="F25" s="1" t="s">
        <v>16</v>
      </c>
      <c r="G25" s="1" t="n">
        <v>-22.2956478</v>
      </c>
      <c r="H25" s="1" t="n">
        <v>-51.3873401</v>
      </c>
      <c r="I25" s="1" t="n">
        <v>-22.1321613052015</v>
      </c>
      <c r="J25" s="1" t="n">
        <v>-51.4073413591303</v>
      </c>
      <c r="K25" s="1" t="n">
        <v>24.7</v>
      </c>
      <c r="L25" s="1" t="n">
        <v>23.6</v>
      </c>
      <c r="M25" s="1" t="s">
        <v>17</v>
      </c>
    </row>
    <row r="26" customFormat="false" ht="15" hidden="true" customHeight="false" outlineLevel="0" collapsed="false">
      <c r="A26" s="1" t="n">
        <v>0</v>
      </c>
      <c r="B26" s="1" t="n">
        <v>0</v>
      </c>
      <c r="C26" s="1" t="s">
        <v>61</v>
      </c>
      <c r="D26" s="1" t="s">
        <v>62</v>
      </c>
      <c r="E26" s="1" t="s">
        <v>63</v>
      </c>
      <c r="F26" s="1" t="s">
        <v>16</v>
      </c>
      <c r="G26" s="1" t="n">
        <v>-22.851552</v>
      </c>
      <c r="H26" s="1" t="n">
        <v>-45.2340924</v>
      </c>
      <c r="I26" s="1" t="n">
        <v>-22.8217468</v>
      </c>
      <c r="J26" s="1" t="n">
        <v>-45.1912082</v>
      </c>
      <c r="K26" s="1" t="n">
        <v>8</v>
      </c>
      <c r="L26" s="1" t="n">
        <v>11.7</v>
      </c>
      <c r="M26" s="1" t="s">
        <v>17</v>
      </c>
    </row>
    <row r="27" customFormat="false" ht="15" hidden="true" customHeight="false" outlineLevel="0" collapsed="false">
      <c r="A27" s="1" t="n">
        <v>0</v>
      </c>
      <c r="B27" s="1" t="n">
        <v>0</v>
      </c>
      <c r="C27" s="1" t="s">
        <v>64</v>
      </c>
      <c r="D27" s="1" t="s">
        <v>64</v>
      </c>
      <c r="E27" s="1" t="s">
        <v>65</v>
      </c>
      <c r="F27" s="1" t="s">
        <v>16</v>
      </c>
      <c r="G27" s="1" t="n">
        <v>-20.4498109</v>
      </c>
      <c r="H27" s="1" t="n">
        <v>-50.8808706</v>
      </c>
      <c r="I27" s="1" t="n">
        <v>-20.2667765</v>
      </c>
      <c r="J27" s="1" t="n">
        <v>-50.5425068</v>
      </c>
      <c r="K27" s="1" t="n">
        <v>44.8</v>
      </c>
      <c r="L27" s="1" t="n">
        <v>44.7</v>
      </c>
      <c r="M27" s="1" t="s">
        <v>17</v>
      </c>
    </row>
    <row r="28" customFormat="false" ht="15" hidden="true" customHeight="false" outlineLevel="0" collapsed="false">
      <c r="A28" s="1" t="n">
        <v>0</v>
      </c>
      <c r="B28" s="1" t="n">
        <v>0</v>
      </c>
      <c r="C28" s="1" t="s">
        <v>34</v>
      </c>
      <c r="D28" s="1" t="s">
        <v>34</v>
      </c>
      <c r="E28" s="1" t="s">
        <v>66</v>
      </c>
      <c r="F28" s="1" t="s">
        <v>16</v>
      </c>
      <c r="G28" s="1" t="n">
        <v>-23.4388277</v>
      </c>
      <c r="H28" s="1" t="n">
        <v>-47.0613084</v>
      </c>
      <c r="I28" s="1" t="n">
        <v>-23.5178154</v>
      </c>
      <c r="J28" s="1" t="n">
        <v>-47.4531223</v>
      </c>
      <c r="K28" s="1" t="n">
        <v>49</v>
      </c>
      <c r="L28" s="1" t="n">
        <v>37.6</v>
      </c>
      <c r="M28" s="1" t="s">
        <v>17</v>
      </c>
    </row>
    <row r="29" customFormat="false" ht="15" hidden="true" customHeight="false" outlineLevel="0" collapsed="false">
      <c r="A29" s="1" t="n">
        <v>0</v>
      </c>
      <c r="B29" s="1" t="n">
        <v>0</v>
      </c>
      <c r="C29" s="1" t="s">
        <v>34</v>
      </c>
      <c r="D29" s="1" t="s">
        <v>34</v>
      </c>
      <c r="E29" s="1" t="s">
        <v>67</v>
      </c>
      <c r="F29" s="1" t="s">
        <v>16</v>
      </c>
      <c r="G29" s="1" t="n">
        <v>-23.5045367</v>
      </c>
      <c r="H29" s="1" t="n">
        <v>-47.6168158</v>
      </c>
      <c r="I29" s="1" t="n">
        <v>-23.5178154</v>
      </c>
      <c r="J29" s="1" t="n">
        <v>-47.4531223</v>
      </c>
      <c r="K29" s="1" t="n">
        <v>23.3</v>
      </c>
      <c r="L29" s="1" t="n">
        <v>21.6</v>
      </c>
      <c r="M29" s="1" t="s">
        <v>17</v>
      </c>
    </row>
    <row r="30" customFormat="false" ht="15" hidden="true" customHeight="false" outlineLevel="0" collapsed="false">
      <c r="A30" s="1" t="n">
        <v>0</v>
      </c>
      <c r="B30" s="1" t="n">
        <v>0</v>
      </c>
      <c r="C30" s="1" t="s">
        <v>68</v>
      </c>
      <c r="D30" s="1" t="s">
        <v>69</v>
      </c>
      <c r="E30" s="1" t="s">
        <v>70</v>
      </c>
      <c r="F30" s="1" t="s">
        <v>16</v>
      </c>
      <c r="G30" s="1" t="n">
        <v>-20.0876144</v>
      </c>
      <c r="H30" s="1" t="n">
        <v>-47.789201</v>
      </c>
      <c r="I30" s="1" t="n">
        <v>-20.0415441</v>
      </c>
      <c r="J30" s="1" t="n">
        <v>-47.7480894</v>
      </c>
      <c r="K30" s="1" t="n">
        <v>11.5</v>
      </c>
      <c r="L30" s="1" t="n">
        <v>10.6</v>
      </c>
      <c r="M30" s="1" t="s">
        <v>17</v>
      </c>
    </row>
    <row r="31" customFormat="false" ht="15" hidden="true" customHeight="false" outlineLevel="0" collapsed="false">
      <c r="A31" s="1" t="n">
        <v>0</v>
      </c>
      <c r="B31" s="1" t="n">
        <v>0</v>
      </c>
      <c r="C31" s="1" t="s">
        <v>24</v>
      </c>
      <c r="D31" s="1" t="s">
        <v>25</v>
      </c>
      <c r="E31" s="1" t="s">
        <v>71</v>
      </c>
      <c r="F31" s="1" t="s">
        <v>16</v>
      </c>
      <c r="G31" s="1" t="n">
        <v>-23.1345103</v>
      </c>
      <c r="H31" s="1" t="n">
        <v>-49.0545651</v>
      </c>
      <c r="I31" s="1" t="n">
        <v>-23.1036883</v>
      </c>
      <c r="J31" s="1" t="n">
        <v>-48.9287403</v>
      </c>
      <c r="K31" s="1" t="n">
        <v>15.2</v>
      </c>
      <c r="L31" s="1" t="n">
        <v>18.5</v>
      </c>
      <c r="M31" s="1" t="s">
        <v>17</v>
      </c>
    </row>
    <row r="32" customFormat="false" ht="15" hidden="true" customHeight="false" outlineLevel="0" collapsed="false">
      <c r="A32" s="1" t="n">
        <v>0</v>
      </c>
      <c r="B32" s="1" t="n">
        <v>0</v>
      </c>
      <c r="C32" s="1" t="s">
        <v>61</v>
      </c>
      <c r="D32" s="1" t="s">
        <v>72</v>
      </c>
      <c r="E32" s="1" t="s">
        <v>73</v>
      </c>
      <c r="F32" s="1" t="s">
        <v>16</v>
      </c>
      <c r="G32" s="1" t="n">
        <v>-22.6738889</v>
      </c>
      <c r="H32" s="1" t="n">
        <v>-44.4477778</v>
      </c>
      <c r="I32" s="1" t="n">
        <v>-22.6479500153204</v>
      </c>
      <c r="J32" s="1" t="n">
        <v>-44.5757358432995</v>
      </c>
      <c r="K32" s="1" t="n">
        <v>19.7</v>
      </c>
      <c r="L32" s="1" t="n">
        <v>25.9</v>
      </c>
      <c r="M32" s="1" t="s">
        <v>17</v>
      </c>
    </row>
    <row r="33" customFormat="false" ht="15" hidden="true" customHeight="false" outlineLevel="0" collapsed="false">
      <c r="A33" s="1" t="n">
        <v>0</v>
      </c>
      <c r="B33" s="1" t="n">
        <v>0</v>
      </c>
      <c r="C33" s="1" t="s">
        <v>49</v>
      </c>
      <c r="D33" s="1" t="s">
        <v>74</v>
      </c>
      <c r="E33" s="1" t="s">
        <v>75</v>
      </c>
      <c r="F33" s="1" t="s">
        <v>16</v>
      </c>
      <c r="G33" s="1" t="n">
        <v>-21.7690152</v>
      </c>
      <c r="H33" s="1" t="n">
        <v>-50.4267159</v>
      </c>
      <c r="I33" s="1" t="n">
        <v>-21.9239111</v>
      </c>
      <c r="J33" s="1" t="n">
        <v>-50.5180547</v>
      </c>
      <c r="K33" s="1" t="n">
        <v>23.2</v>
      </c>
      <c r="L33" s="1" t="n">
        <v>28.4</v>
      </c>
      <c r="M33" s="1" t="s">
        <v>17</v>
      </c>
    </row>
    <row r="34" customFormat="false" ht="15" hidden="true" customHeight="false" outlineLevel="0" collapsed="false">
      <c r="A34" s="1" t="n">
        <v>0</v>
      </c>
      <c r="B34" s="1" t="n">
        <v>1</v>
      </c>
      <c r="C34" s="1" t="s">
        <v>30</v>
      </c>
      <c r="D34" s="1" t="s">
        <v>30</v>
      </c>
      <c r="E34" s="1" t="s">
        <v>76</v>
      </c>
      <c r="F34" s="1" t="s">
        <v>32</v>
      </c>
      <c r="G34" s="1" t="n">
        <v>-22.0301906</v>
      </c>
      <c r="H34" s="1" t="n">
        <v>-48.9111936</v>
      </c>
      <c r="I34" s="1" t="n">
        <v>-22.3305675</v>
      </c>
      <c r="J34" s="1" t="n">
        <v>-49.0775289</v>
      </c>
      <c r="K34" s="1" t="n">
        <v>44.8</v>
      </c>
      <c r="L34" s="1" t="n">
        <v>40.4</v>
      </c>
      <c r="M34" s="1" t="s">
        <v>17</v>
      </c>
    </row>
    <row r="35" customFormat="false" ht="15" hidden="true" customHeight="false" outlineLevel="0" collapsed="false">
      <c r="A35" s="1" t="n">
        <v>0</v>
      </c>
      <c r="B35" s="1" t="n">
        <v>1</v>
      </c>
      <c r="C35" s="1" t="s">
        <v>30</v>
      </c>
      <c r="D35" s="1" t="s">
        <v>30</v>
      </c>
      <c r="E35" s="1" t="s">
        <v>76</v>
      </c>
      <c r="F35" s="1" t="s">
        <v>33</v>
      </c>
      <c r="G35" s="1" t="n">
        <v>-22.0301906</v>
      </c>
      <c r="H35" s="1" t="n">
        <v>-48.9111936</v>
      </c>
      <c r="I35" s="1" t="n">
        <v>-22.3088056</v>
      </c>
      <c r="J35" s="1" t="n">
        <v>-49.0897729</v>
      </c>
      <c r="K35" s="1" t="n">
        <v>43.3</v>
      </c>
      <c r="L35" s="1" t="n">
        <v>38.4</v>
      </c>
      <c r="M35" s="1" t="s">
        <v>17</v>
      </c>
    </row>
    <row r="36" customFormat="false" ht="15" hidden="true" customHeight="false" outlineLevel="0" collapsed="false">
      <c r="A36" s="1" t="n">
        <v>0</v>
      </c>
      <c r="B36" s="1" t="n">
        <v>0</v>
      </c>
      <c r="C36" s="1" t="s">
        <v>61</v>
      </c>
      <c r="D36" s="1" t="s">
        <v>77</v>
      </c>
      <c r="E36" s="1" t="s">
        <v>78</v>
      </c>
      <c r="F36" s="1" t="s">
        <v>16</v>
      </c>
      <c r="G36" s="1" t="n">
        <v>-22.5800929</v>
      </c>
      <c r="H36" s="1" t="n">
        <v>-44.6975127</v>
      </c>
      <c r="I36" s="1" t="n">
        <v>-22.5754109</v>
      </c>
      <c r="J36" s="1" t="n">
        <v>-44.9635404</v>
      </c>
      <c r="K36" s="1" t="n">
        <v>38.9</v>
      </c>
      <c r="L36" s="1" t="n">
        <v>50.2</v>
      </c>
      <c r="M36" s="1" t="s">
        <v>17</v>
      </c>
    </row>
    <row r="37" customFormat="false" ht="15" hidden="true" customHeight="false" outlineLevel="0" collapsed="false">
      <c r="A37" s="1" t="n">
        <v>0</v>
      </c>
      <c r="B37" s="1" t="n">
        <v>0</v>
      </c>
      <c r="C37" s="1" t="s">
        <v>24</v>
      </c>
      <c r="D37" s="1" t="s">
        <v>24</v>
      </c>
      <c r="E37" s="1" t="s">
        <v>79</v>
      </c>
      <c r="F37" s="1" t="s">
        <v>16</v>
      </c>
      <c r="G37" s="1" t="n">
        <v>-22.6758064</v>
      </c>
      <c r="H37" s="1" t="n">
        <v>-48.6673653</v>
      </c>
      <c r="I37" s="1" t="n">
        <v>-22.8913439388248</v>
      </c>
      <c r="J37" s="1" t="n">
        <v>-48.4962954591084</v>
      </c>
      <c r="K37" s="1" t="n">
        <v>34.4</v>
      </c>
      <c r="L37" s="1" t="n">
        <v>28.8</v>
      </c>
      <c r="M37" s="1" t="s">
        <v>17</v>
      </c>
    </row>
    <row r="38" customFormat="false" ht="15" hidden="true" customHeight="false" outlineLevel="0" collapsed="false">
      <c r="A38" s="1" t="n">
        <v>0</v>
      </c>
      <c r="B38" s="1" t="n">
        <v>0</v>
      </c>
      <c r="C38" s="1" t="s">
        <v>13</v>
      </c>
      <c r="D38" s="1" t="s">
        <v>80</v>
      </c>
      <c r="E38" s="1" t="s">
        <v>81</v>
      </c>
      <c r="F38" s="1" t="s">
        <v>16</v>
      </c>
      <c r="G38" s="1" t="n">
        <v>-21.18716</v>
      </c>
      <c r="H38" s="1" t="n">
        <v>-48.790418</v>
      </c>
      <c r="I38" s="1" t="n">
        <v>-21.1407509</v>
      </c>
      <c r="J38" s="1" t="n">
        <v>-48.9754937</v>
      </c>
      <c r="K38" s="1" t="n">
        <v>23.3</v>
      </c>
      <c r="L38" s="1" t="n">
        <v>27.9</v>
      </c>
      <c r="M38" s="1" t="s">
        <v>17</v>
      </c>
    </row>
    <row r="39" customFormat="false" ht="15" hidden="true" customHeight="false" outlineLevel="0" collapsed="false">
      <c r="A39" s="1" t="n">
        <v>0</v>
      </c>
      <c r="B39" s="1" t="n">
        <v>1</v>
      </c>
      <c r="C39" s="1" t="s">
        <v>82</v>
      </c>
      <c r="D39" s="1" t="s">
        <v>82</v>
      </c>
      <c r="E39" s="1" t="s">
        <v>83</v>
      </c>
      <c r="F39" s="1" t="s">
        <v>16</v>
      </c>
      <c r="G39" s="1" t="n">
        <v>-22.572737</v>
      </c>
      <c r="H39" s="1" t="n">
        <v>-47.172679</v>
      </c>
      <c r="I39" s="1" t="n">
        <v>-22.8267804850019</v>
      </c>
      <c r="J39" s="1" t="n">
        <v>-47.0640301726016</v>
      </c>
      <c r="K39" s="1" t="n">
        <v>42.4</v>
      </c>
      <c r="L39" s="1" t="n">
        <v>38</v>
      </c>
      <c r="M39" s="1" t="s">
        <v>17</v>
      </c>
    </row>
    <row r="40" customFormat="false" ht="15" hidden="true" customHeight="false" outlineLevel="0" collapsed="false">
      <c r="A40" s="1" t="n">
        <v>0</v>
      </c>
      <c r="B40" s="1" t="n">
        <v>1</v>
      </c>
      <c r="C40" s="1" t="s">
        <v>84</v>
      </c>
      <c r="D40" s="1" t="s">
        <v>85</v>
      </c>
      <c r="E40" s="1" t="s">
        <v>86</v>
      </c>
      <c r="F40" s="1" t="s">
        <v>16</v>
      </c>
      <c r="G40" s="1" t="n">
        <v>-23.396266</v>
      </c>
      <c r="H40" s="1" t="n">
        <v>-46.3175449</v>
      </c>
      <c r="I40" s="1" t="n">
        <v>-23.4527908</v>
      </c>
      <c r="J40" s="1" t="n">
        <v>-46.5162863</v>
      </c>
      <c r="K40" s="1" t="n">
        <v>25.8</v>
      </c>
      <c r="L40" s="1" t="n">
        <v>24.2</v>
      </c>
      <c r="M40" s="1" t="s">
        <v>17</v>
      </c>
    </row>
    <row r="41" customFormat="false" ht="15" hidden="true" customHeight="false" outlineLevel="0" collapsed="false">
      <c r="A41" s="1" t="n">
        <v>0</v>
      </c>
      <c r="B41" s="1" t="n">
        <v>0</v>
      </c>
      <c r="C41" s="1" t="s">
        <v>64</v>
      </c>
      <c r="D41" s="1" t="s">
        <v>64</v>
      </c>
      <c r="E41" s="1" t="s">
        <v>87</v>
      </c>
      <c r="F41" s="1" t="s">
        <v>16</v>
      </c>
      <c r="G41" s="1" t="n">
        <v>-20.1596604</v>
      </c>
      <c r="H41" s="1" t="n">
        <v>-50.7279226</v>
      </c>
      <c r="I41" s="1" t="n">
        <v>-20.2667765</v>
      </c>
      <c r="J41" s="1" t="n">
        <v>-50.5425068</v>
      </c>
      <c r="K41" s="1" t="n">
        <v>24.8</v>
      </c>
      <c r="L41" s="1" t="n">
        <v>21.6</v>
      </c>
      <c r="M41" s="1" t="s">
        <v>17</v>
      </c>
    </row>
    <row r="42" customFormat="false" ht="15" hidden="true" customHeight="false" outlineLevel="0" collapsed="false">
      <c r="A42" s="1" t="n">
        <v>0</v>
      </c>
      <c r="B42" s="1" t="n">
        <v>1</v>
      </c>
      <c r="C42" s="1" t="s">
        <v>30</v>
      </c>
      <c r="D42" s="1" t="s">
        <v>30</v>
      </c>
      <c r="E42" s="1" t="s">
        <v>88</v>
      </c>
      <c r="F42" s="1" t="s">
        <v>32</v>
      </c>
      <c r="G42" s="1" t="n">
        <v>-22.1564662</v>
      </c>
      <c r="H42" s="1" t="n">
        <v>-49.3316395</v>
      </c>
      <c r="I42" s="1" t="n">
        <v>-22.3305675</v>
      </c>
      <c r="J42" s="1" t="n">
        <v>-49.0775289</v>
      </c>
      <c r="K42" s="1" t="n">
        <v>43.3</v>
      </c>
      <c r="L42" s="1" t="n">
        <v>35.7</v>
      </c>
      <c r="M42" s="1" t="s">
        <v>17</v>
      </c>
    </row>
    <row r="43" customFormat="false" ht="15" hidden="true" customHeight="false" outlineLevel="0" collapsed="false">
      <c r="A43" s="1" t="n">
        <v>0</v>
      </c>
      <c r="B43" s="1" t="n">
        <v>1</v>
      </c>
      <c r="C43" s="1" t="s">
        <v>30</v>
      </c>
      <c r="D43" s="1" t="s">
        <v>30</v>
      </c>
      <c r="E43" s="1" t="s">
        <v>88</v>
      </c>
      <c r="F43" s="1" t="s">
        <v>33</v>
      </c>
      <c r="G43" s="1" t="n">
        <v>-22.1564662</v>
      </c>
      <c r="H43" s="1" t="n">
        <v>-49.3316395</v>
      </c>
      <c r="I43" s="1" t="n">
        <v>-22.3088056</v>
      </c>
      <c r="J43" s="1" t="n">
        <v>-49.0897729</v>
      </c>
      <c r="K43" s="1" t="n">
        <v>39.4</v>
      </c>
      <c r="L43" s="1" t="n">
        <v>33.1</v>
      </c>
      <c r="M43" s="1" t="s">
        <v>17</v>
      </c>
    </row>
    <row r="44" customFormat="false" ht="15" hidden="true" customHeight="false" outlineLevel="0" collapsed="false">
      <c r="A44" s="1" t="n">
        <v>0</v>
      </c>
      <c r="B44" s="1" t="n">
        <v>0</v>
      </c>
      <c r="C44" s="1" t="s">
        <v>42</v>
      </c>
      <c r="D44" s="1" t="s">
        <v>43</v>
      </c>
      <c r="E44" s="1" t="s">
        <v>89</v>
      </c>
      <c r="F44" s="1" t="s">
        <v>16</v>
      </c>
      <c r="G44" s="1" t="n">
        <v>-21.4603331</v>
      </c>
      <c r="H44" s="1" t="n">
        <v>-49.9465156</v>
      </c>
      <c r="I44" s="1" t="n">
        <v>-21.4164035</v>
      </c>
      <c r="J44" s="1" t="n">
        <v>-50.0649111</v>
      </c>
      <c r="K44" s="1" t="n">
        <v>14.1</v>
      </c>
      <c r="L44" s="1" t="n">
        <v>15.9</v>
      </c>
      <c r="M44" s="1" t="s">
        <v>17</v>
      </c>
    </row>
    <row r="45" customFormat="false" ht="15" hidden="true" customHeight="false" outlineLevel="0" collapsed="false">
      <c r="A45" s="1" t="n">
        <v>0</v>
      </c>
      <c r="B45" s="1" t="n">
        <v>0</v>
      </c>
      <c r="C45" s="1" t="s">
        <v>30</v>
      </c>
      <c r="D45" s="1" t="s">
        <v>90</v>
      </c>
      <c r="E45" s="1" t="s">
        <v>91</v>
      </c>
      <c r="F45" s="1" t="s">
        <v>16</v>
      </c>
      <c r="G45" s="1" t="n">
        <v>-21.9006253</v>
      </c>
      <c r="H45" s="1" t="n">
        <v>-49.3583966</v>
      </c>
      <c r="I45" s="1" t="n">
        <v>-21.9993871</v>
      </c>
      <c r="J45" s="1" t="n">
        <v>-49.4574733</v>
      </c>
      <c r="K45" s="1" t="n">
        <v>19.9</v>
      </c>
      <c r="L45" s="1" t="n">
        <v>18.4</v>
      </c>
      <c r="M45" s="1" t="s">
        <v>17</v>
      </c>
    </row>
    <row r="46" customFormat="false" ht="15" hidden="true" customHeight="false" outlineLevel="0" collapsed="false">
      <c r="A46" s="1" t="n">
        <v>0</v>
      </c>
      <c r="B46" s="1" t="n">
        <v>0</v>
      </c>
      <c r="C46" s="1" t="s">
        <v>13</v>
      </c>
      <c r="D46" s="1" t="s">
        <v>92</v>
      </c>
      <c r="E46" s="1" t="s">
        <v>93</v>
      </c>
      <c r="F46" s="1" t="s">
        <v>16</v>
      </c>
      <c r="G46" s="1" t="n">
        <v>-20.7343722</v>
      </c>
      <c r="H46" s="1" t="n">
        <v>-49.5807484</v>
      </c>
      <c r="I46" s="1" t="n">
        <v>-20.6278349</v>
      </c>
      <c r="J46" s="1" t="n">
        <v>-49.6518627</v>
      </c>
      <c r="K46" s="1" t="n">
        <v>15.1</v>
      </c>
      <c r="L46" s="1" t="n">
        <v>12.6</v>
      </c>
      <c r="M46" s="1" t="s">
        <v>17</v>
      </c>
    </row>
    <row r="47" customFormat="false" ht="15" hidden="true" customHeight="false" outlineLevel="0" collapsed="false">
      <c r="A47" s="1" t="n">
        <v>0</v>
      </c>
      <c r="B47" s="1" t="n">
        <v>0</v>
      </c>
      <c r="C47" s="1" t="s">
        <v>24</v>
      </c>
      <c r="D47" s="1" t="s">
        <v>94</v>
      </c>
      <c r="E47" s="1" t="s">
        <v>95</v>
      </c>
      <c r="F47" s="1" t="s">
        <v>16</v>
      </c>
      <c r="G47" s="1" t="n">
        <v>-23.6295651</v>
      </c>
      <c r="H47" s="1" t="n">
        <v>-49.5632104</v>
      </c>
      <c r="I47" s="1" t="n">
        <v>-23.5330527</v>
      </c>
      <c r="J47" s="1" t="n">
        <v>-49.2450779</v>
      </c>
      <c r="K47" s="1" t="n">
        <v>51.8</v>
      </c>
      <c r="L47" s="1" t="n">
        <v>44.4</v>
      </c>
      <c r="M47" s="1" t="s">
        <v>17</v>
      </c>
    </row>
    <row r="48" customFormat="false" ht="15" hidden="true" customHeight="false" outlineLevel="0" collapsed="false">
      <c r="A48" s="1" t="n">
        <v>0</v>
      </c>
      <c r="B48" s="1" t="n">
        <v>0</v>
      </c>
      <c r="C48" s="1" t="s">
        <v>42</v>
      </c>
      <c r="D48" s="1" t="s">
        <v>43</v>
      </c>
      <c r="E48" s="1" t="s">
        <v>96</v>
      </c>
      <c r="F48" s="1" t="s">
        <v>16</v>
      </c>
      <c r="G48" s="1" t="n">
        <v>-21.265661</v>
      </c>
      <c r="H48" s="1" t="n">
        <v>-49.951816</v>
      </c>
      <c r="I48" s="1" t="n">
        <v>-21.4164035</v>
      </c>
      <c r="J48" s="1" t="n">
        <v>-50.0649111</v>
      </c>
      <c r="K48" s="1" t="n">
        <v>26.7</v>
      </c>
      <c r="L48" s="1" t="n">
        <v>22.8</v>
      </c>
      <c r="M48" s="1" t="s">
        <v>17</v>
      </c>
    </row>
    <row r="49" customFormat="false" ht="15" hidden="true" customHeight="false" outlineLevel="0" collapsed="false">
      <c r="A49" s="1" t="n">
        <v>0</v>
      </c>
      <c r="B49" s="1" t="n">
        <v>0</v>
      </c>
      <c r="C49" s="1" t="s">
        <v>30</v>
      </c>
      <c r="D49" s="1" t="s">
        <v>97</v>
      </c>
      <c r="E49" s="1" t="s">
        <v>98</v>
      </c>
      <c r="F49" s="1" t="s">
        <v>16</v>
      </c>
      <c r="G49" s="1" t="n">
        <v>-22.0746355</v>
      </c>
      <c r="H49" s="1" t="n">
        <v>-48.7394852</v>
      </c>
      <c r="I49" s="1" t="n">
        <v>-22.293224</v>
      </c>
      <c r="J49" s="1" t="n">
        <v>-48.5608001</v>
      </c>
      <c r="K49" s="1" t="n">
        <v>34.7</v>
      </c>
      <c r="L49" s="1" t="n">
        <v>33.6</v>
      </c>
      <c r="M49" s="1" t="s">
        <v>17</v>
      </c>
    </row>
    <row r="50" customFormat="false" ht="15" hidden="true" customHeight="false" outlineLevel="0" collapsed="false">
      <c r="A50" s="1" t="n">
        <v>0</v>
      </c>
      <c r="B50" s="1" t="n">
        <v>0</v>
      </c>
      <c r="C50" s="1" t="s">
        <v>30</v>
      </c>
      <c r="D50" s="1" t="s">
        <v>97</v>
      </c>
      <c r="E50" s="1" t="s">
        <v>99</v>
      </c>
      <c r="F50" s="1" t="s">
        <v>16</v>
      </c>
      <c r="G50" s="1" t="n">
        <v>-22.490859</v>
      </c>
      <c r="H50" s="1" t="n">
        <v>-48.558349</v>
      </c>
      <c r="I50" s="1" t="n">
        <v>-22.293224</v>
      </c>
      <c r="J50" s="1" t="n">
        <v>-48.5608001</v>
      </c>
      <c r="K50" s="1" t="n">
        <v>25.3</v>
      </c>
      <c r="L50" s="1" t="n">
        <v>23.3</v>
      </c>
      <c r="M50" s="1" t="s">
        <v>17</v>
      </c>
    </row>
    <row r="51" customFormat="false" ht="15" hidden="true" customHeight="false" outlineLevel="0" collapsed="false">
      <c r="A51" s="1" t="n">
        <v>0</v>
      </c>
      <c r="B51" s="1" t="n">
        <v>0</v>
      </c>
      <c r="C51" s="1" t="s">
        <v>100</v>
      </c>
      <c r="D51" s="1" t="s">
        <v>101</v>
      </c>
      <c r="E51" s="1" t="s">
        <v>102</v>
      </c>
      <c r="F51" s="1" t="s">
        <v>16</v>
      </c>
      <c r="G51" s="1" t="n">
        <v>-24.472203</v>
      </c>
      <c r="H51" s="1" t="n">
        <v>-49.023784</v>
      </c>
      <c r="I51" s="1" t="n">
        <v>-24.5108462</v>
      </c>
      <c r="J51" s="1" t="n">
        <v>-48.8449052</v>
      </c>
      <c r="K51" s="1" t="n">
        <v>25.2</v>
      </c>
      <c r="L51" s="1" t="n">
        <v>28.3</v>
      </c>
      <c r="M51" s="1" t="s">
        <v>17</v>
      </c>
    </row>
    <row r="52" customFormat="false" ht="15" hidden="true" customHeight="false" outlineLevel="0" collapsed="false">
      <c r="A52" s="1" t="n">
        <v>0</v>
      </c>
      <c r="B52" s="1" t="n">
        <v>0</v>
      </c>
      <c r="C52" s="1" t="s">
        <v>103</v>
      </c>
      <c r="D52" s="1" t="s">
        <v>104</v>
      </c>
      <c r="E52" s="1" t="s">
        <v>105</v>
      </c>
      <c r="F52" s="1" t="s">
        <v>16</v>
      </c>
      <c r="G52" s="1" t="n">
        <v>-21.1898849</v>
      </c>
      <c r="H52" s="1" t="n">
        <v>-48.1550642</v>
      </c>
      <c r="I52" s="1" t="n">
        <v>-21.1197143</v>
      </c>
      <c r="J52" s="1" t="n">
        <v>-48.0042389</v>
      </c>
      <c r="K52" s="1" t="n">
        <v>22</v>
      </c>
      <c r="L52" s="1" t="n">
        <v>21.1</v>
      </c>
      <c r="M52" s="1" t="s">
        <v>17</v>
      </c>
    </row>
    <row r="53" customFormat="false" ht="15" hidden="true" customHeight="false" outlineLevel="0" collapsed="false">
      <c r="A53" s="1" t="n">
        <v>0</v>
      </c>
      <c r="B53" s="1" t="n">
        <v>1</v>
      </c>
      <c r="C53" s="1" t="s">
        <v>106</v>
      </c>
      <c r="D53" s="1" t="s">
        <v>107</v>
      </c>
      <c r="E53" s="1" t="s">
        <v>108</v>
      </c>
      <c r="F53" s="1" t="s">
        <v>16</v>
      </c>
      <c r="G53" s="1" t="n">
        <v>-23.5112184</v>
      </c>
      <c r="H53" s="1" t="n">
        <v>-46.8764612</v>
      </c>
      <c r="I53" s="1" t="n">
        <v>-23.5706964</v>
      </c>
      <c r="J53" s="1" t="n">
        <v>-46.7104754</v>
      </c>
      <c r="K53" s="1" t="n">
        <v>20.5</v>
      </c>
      <c r="L53" s="1" t="n">
        <v>19.1</v>
      </c>
      <c r="M53" s="1" t="s">
        <v>17</v>
      </c>
    </row>
    <row r="54" customFormat="false" ht="15" hidden="true" customHeight="false" outlineLevel="0" collapsed="false">
      <c r="A54" s="1" t="n">
        <v>0</v>
      </c>
      <c r="B54" s="1" t="n">
        <v>0</v>
      </c>
      <c r="C54" s="1" t="s">
        <v>49</v>
      </c>
      <c r="D54" s="1" t="s">
        <v>74</v>
      </c>
      <c r="E54" s="1" t="s">
        <v>109</v>
      </c>
      <c r="F54" s="1" t="s">
        <v>16</v>
      </c>
      <c r="G54" s="1" t="n">
        <v>-21.9222474</v>
      </c>
      <c r="H54" s="1" t="n">
        <v>-50.7317727</v>
      </c>
      <c r="I54" s="1" t="n">
        <v>-21.9239111</v>
      </c>
      <c r="J54" s="1" t="n">
        <v>-50.5180547</v>
      </c>
      <c r="K54" s="1" t="n">
        <v>30</v>
      </c>
      <c r="L54" s="1" t="n">
        <v>28.6</v>
      </c>
      <c r="M54" s="1" t="s">
        <v>17</v>
      </c>
    </row>
    <row r="55" customFormat="false" ht="15" hidden="true" customHeight="false" outlineLevel="0" collapsed="false">
      <c r="A55" s="1" t="n">
        <v>0</v>
      </c>
      <c r="B55" s="1" t="n">
        <v>0</v>
      </c>
      <c r="C55" s="1" t="s">
        <v>42</v>
      </c>
      <c r="D55" s="1" t="s">
        <v>110</v>
      </c>
      <c r="E55" s="1" t="s">
        <v>111</v>
      </c>
      <c r="F55" s="1" t="s">
        <v>16</v>
      </c>
      <c r="G55" s="1" t="n">
        <v>-21.2715723</v>
      </c>
      <c r="H55" s="1" t="n">
        <v>-50.8117225</v>
      </c>
      <c r="I55" s="1" t="n">
        <v>-21.2306549</v>
      </c>
      <c r="J55" s="1" t="n">
        <v>-50.8611954</v>
      </c>
      <c r="K55" s="1" t="n">
        <v>9.5</v>
      </c>
      <c r="L55" s="1" t="n">
        <v>12.8</v>
      </c>
      <c r="M55" s="1" t="s">
        <v>17</v>
      </c>
    </row>
    <row r="56" customFormat="false" ht="15" hidden="true" customHeight="false" outlineLevel="0" collapsed="false">
      <c r="A56" s="1" t="n">
        <v>0</v>
      </c>
      <c r="B56" s="1" t="n">
        <v>0</v>
      </c>
      <c r="C56" s="1" t="s">
        <v>112</v>
      </c>
      <c r="D56" s="1" t="s">
        <v>113</v>
      </c>
      <c r="E56" s="1" t="s">
        <v>114</v>
      </c>
      <c r="F56" s="1" t="s">
        <v>16</v>
      </c>
      <c r="G56" s="1" t="n">
        <v>-23.0140216</v>
      </c>
      <c r="H56" s="1" t="n">
        <v>-49.4760724</v>
      </c>
      <c r="I56" s="1" t="n">
        <v>-22.901501866441</v>
      </c>
      <c r="J56" s="1" t="n">
        <v>-49.6271577260513</v>
      </c>
      <c r="K56" s="1" t="n">
        <v>22.7</v>
      </c>
      <c r="L56" s="1" t="n">
        <v>25.8</v>
      </c>
      <c r="M56" s="1" t="s">
        <v>17</v>
      </c>
    </row>
    <row r="57" customFormat="false" ht="15" hidden="true" customHeight="false" outlineLevel="0" collapsed="false">
      <c r="A57" s="1" t="n">
        <v>0</v>
      </c>
      <c r="B57" s="1" t="n">
        <v>0</v>
      </c>
      <c r="C57" s="1" t="s">
        <v>42</v>
      </c>
      <c r="D57" s="1" t="s">
        <v>115</v>
      </c>
      <c r="E57" s="1" t="s">
        <v>116</v>
      </c>
      <c r="F57" s="1" t="s">
        <v>16</v>
      </c>
      <c r="G57" s="1" t="n">
        <v>-21.403962</v>
      </c>
      <c r="H57" s="1" t="n">
        <v>-50.47464</v>
      </c>
      <c r="I57" s="1" t="n">
        <v>-21.5566976258936</v>
      </c>
      <c r="J57" s="1" t="n">
        <v>-50.4465331675452</v>
      </c>
      <c r="K57" s="1" t="n">
        <v>21.6</v>
      </c>
      <c r="L57" s="1" t="n">
        <v>19.8</v>
      </c>
      <c r="M57" s="1" t="s">
        <v>17</v>
      </c>
    </row>
    <row r="58" customFormat="false" ht="15" hidden="true" customHeight="false" outlineLevel="0" collapsed="false">
      <c r="A58" s="1" t="n">
        <v>0</v>
      </c>
      <c r="B58" s="1" t="n">
        <v>0</v>
      </c>
      <c r="C58" s="1" t="s">
        <v>84</v>
      </c>
      <c r="D58" s="1" t="s">
        <v>84</v>
      </c>
      <c r="E58" s="1" t="s">
        <v>117</v>
      </c>
      <c r="F58" s="1" t="s">
        <v>16</v>
      </c>
      <c r="G58" s="1" t="n">
        <v>-23.5697765</v>
      </c>
      <c r="H58" s="1" t="n">
        <v>-46.0407456</v>
      </c>
      <c r="I58" s="1" t="n">
        <v>-23.5094521</v>
      </c>
      <c r="J58" s="1" t="n">
        <v>-46.1937851</v>
      </c>
      <c r="K58" s="1" t="n">
        <v>22</v>
      </c>
      <c r="L58" s="1" t="n">
        <v>23.7</v>
      </c>
      <c r="M58" s="1" t="s">
        <v>17</v>
      </c>
    </row>
    <row r="59" customFormat="false" ht="15" hidden="true" customHeight="false" outlineLevel="0" collapsed="false">
      <c r="A59" s="1" t="n">
        <v>0</v>
      </c>
      <c r="B59" s="1" t="n">
        <v>0</v>
      </c>
      <c r="C59" s="1" t="s">
        <v>54</v>
      </c>
      <c r="D59" s="1" t="s">
        <v>54</v>
      </c>
      <c r="E59" s="1" t="s">
        <v>118</v>
      </c>
      <c r="F59" s="1" t="s">
        <v>16</v>
      </c>
      <c r="G59" s="1" t="n">
        <v>-21.9930206</v>
      </c>
      <c r="H59" s="1" t="n">
        <v>-48.3917372</v>
      </c>
      <c r="I59" s="1" t="n">
        <v>-21.8050425399424</v>
      </c>
      <c r="J59" s="1" t="n">
        <v>-48.1712910931619</v>
      </c>
      <c r="K59" s="1" t="n">
        <v>33.5</v>
      </c>
      <c r="L59" s="1" t="n">
        <v>28.5</v>
      </c>
      <c r="M59" s="1" t="s">
        <v>17</v>
      </c>
    </row>
    <row r="60" customFormat="false" ht="15" hidden="true" customHeight="false" outlineLevel="0" collapsed="false">
      <c r="A60" s="1" t="n">
        <v>0</v>
      </c>
      <c r="B60" s="1" t="n">
        <v>0</v>
      </c>
      <c r="C60" s="1" t="s">
        <v>30</v>
      </c>
      <c r="D60" s="1" t="s">
        <v>97</v>
      </c>
      <c r="E60" s="1" t="s">
        <v>119</v>
      </c>
      <c r="F60" s="1" t="s">
        <v>16</v>
      </c>
      <c r="G60" s="1" t="n">
        <v>-22.1421831</v>
      </c>
      <c r="H60" s="1" t="n">
        <v>-48.522276</v>
      </c>
      <c r="I60" s="1" t="n">
        <v>-22.293224</v>
      </c>
      <c r="J60" s="1" t="n">
        <v>-48.5608001</v>
      </c>
      <c r="K60" s="1" t="n">
        <v>20.4</v>
      </c>
      <c r="L60" s="1" t="n">
        <v>19.6</v>
      </c>
      <c r="M60" s="1" t="s">
        <v>17</v>
      </c>
    </row>
    <row r="61" customFormat="false" ht="15" hidden="true" customHeight="false" outlineLevel="0" collapsed="false">
      <c r="A61" s="1" t="n">
        <v>0</v>
      </c>
      <c r="B61" s="1" t="n">
        <v>0</v>
      </c>
      <c r="C61" s="1" t="s">
        <v>24</v>
      </c>
      <c r="D61" s="1" t="s">
        <v>24</v>
      </c>
      <c r="E61" s="1" t="s">
        <v>120</v>
      </c>
      <c r="F61" s="1" t="s">
        <v>16</v>
      </c>
      <c r="G61" s="1" t="n">
        <v>-23.1019554</v>
      </c>
      <c r="H61" s="1" t="n">
        <v>-48.2610535</v>
      </c>
      <c r="I61" s="1" t="n">
        <v>-22.8913439388248</v>
      </c>
      <c r="J61" s="1" t="n">
        <v>-48.4962954591084</v>
      </c>
      <c r="K61" s="1" t="n">
        <v>51</v>
      </c>
      <c r="L61" s="1" t="n">
        <v>49.6</v>
      </c>
      <c r="M61" s="1" t="s">
        <v>17</v>
      </c>
    </row>
    <row r="62" customFormat="false" ht="15" hidden="true" customHeight="false" outlineLevel="0" collapsed="false">
      <c r="A62" s="1" t="n">
        <v>0</v>
      </c>
      <c r="B62" s="1" t="n">
        <v>0</v>
      </c>
      <c r="C62" s="1" t="s">
        <v>34</v>
      </c>
      <c r="D62" s="1" t="s">
        <v>121</v>
      </c>
      <c r="E62" s="1" t="s">
        <v>122</v>
      </c>
      <c r="F62" s="1" t="s">
        <v>16</v>
      </c>
      <c r="G62" s="1" t="n">
        <v>-23.2838893</v>
      </c>
      <c r="H62" s="1" t="n">
        <v>-47.6738231</v>
      </c>
      <c r="I62" s="1" t="n">
        <v>-23.3522859</v>
      </c>
      <c r="J62" s="1" t="n">
        <v>-47.8445248</v>
      </c>
      <c r="K62" s="1" t="n">
        <v>27.5</v>
      </c>
      <c r="L62" s="1" t="n">
        <v>23.7</v>
      </c>
      <c r="M62" s="1" t="s">
        <v>17</v>
      </c>
    </row>
    <row r="63" customFormat="false" ht="15" hidden="true" customHeight="false" outlineLevel="0" collapsed="false">
      <c r="A63" s="1" t="n">
        <v>0</v>
      </c>
      <c r="B63" s="1" t="n">
        <v>0</v>
      </c>
      <c r="C63" s="1" t="s">
        <v>82</v>
      </c>
      <c r="D63" s="1" t="s">
        <v>123</v>
      </c>
      <c r="E63" s="1" t="s">
        <v>124</v>
      </c>
      <c r="F63" s="1" t="s">
        <v>16</v>
      </c>
      <c r="G63" s="1" t="n">
        <v>-23.1353864</v>
      </c>
      <c r="H63" s="1" t="n">
        <v>-46.4648052</v>
      </c>
      <c r="I63" s="1" t="n">
        <v>-23.1148518</v>
      </c>
      <c r="J63" s="1" t="n">
        <v>-46.5506405</v>
      </c>
      <c r="K63" s="1" t="n">
        <v>11.5</v>
      </c>
      <c r="L63" s="1" t="n">
        <v>12.3</v>
      </c>
      <c r="M63" s="1" t="s">
        <v>17</v>
      </c>
    </row>
    <row r="64" customFormat="false" ht="15" hidden="true" customHeight="false" outlineLevel="0" collapsed="false">
      <c r="A64" s="1" t="n">
        <v>0</v>
      </c>
      <c r="B64" s="1" t="n">
        <v>0</v>
      </c>
      <c r="C64" s="1" t="s">
        <v>100</v>
      </c>
      <c r="D64" s="1" t="s">
        <v>100</v>
      </c>
      <c r="E64" s="1" t="s">
        <v>125</v>
      </c>
      <c r="F64" s="1" t="s">
        <v>16</v>
      </c>
      <c r="G64" s="1" t="n">
        <v>-24.3190016</v>
      </c>
      <c r="H64" s="1" t="n">
        <v>-49.1446207</v>
      </c>
      <c r="I64" s="1" t="n">
        <v>-23.9886708</v>
      </c>
      <c r="J64" s="1" t="n">
        <v>-48.8771605</v>
      </c>
      <c r="K64" s="1" t="n">
        <v>62.2</v>
      </c>
      <c r="L64" s="1" t="n">
        <v>60.2</v>
      </c>
      <c r="M64" s="1" t="s">
        <v>17</v>
      </c>
    </row>
    <row r="65" customFormat="false" ht="15" hidden="true" customHeight="false" outlineLevel="0" collapsed="false">
      <c r="A65" s="1" t="n">
        <v>0</v>
      </c>
      <c r="B65" s="1" t="n">
        <v>0</v>
      </c>
      <c r="C65" s="1" t="s">
        <v>112</v>
      </c>
      <c r="D65" s="1" t="s">
        <v>126</v>
      </c>
      <c r="E65" s="1" t="s">
        <v>127</v>
      </c>
      <c r="F65" s="1" t="s">
        <v>16</v>
      </c>
      <c r="G65" s="1" t="n">
        <v>-22.2703347</v>
      </c>
      <c r="H65" s="1" t="n">
        <v>-50.5442675</v>
      </c>
      <c r="I65" s="1" t="n">
        <v>-22.414331</v>
      </c>
      <c r="J65" s="1" t="n">
        <v>-50.579357</v>
      </c>
      <c r="K65" s="1" t="n">
        <v>19</v>
      </c>
      <c r="L65" s="1" t="n">
        <v>22.5</v>
      </c>
      <c r="M65" s="1" t="s">
        <v>17</v>
      </c>
    </row>
    <row r="66" customFormat="false" ht="15" hidden="true" customHeight="false" outlineLevel="0" collapsed="false">
      <c r="A66" s="1" t="n">
        <v>0</v>
      </c>
      <c r="B66" s="1" t="n">
        <v>0</v>
      </c>
      <c r="C66" s="1" t="s">
        <v>30</v>
      </c>
      <c r="D66" s="1" t="s">
        <v>97</v>
      </c>
      <c r="E66" s="1" t="s">
        <v>128</v>
      </c>
      <c r="F66" s="1" t="s">
        <v>16</v>
      </c>
      <c r="G66" s="1" t="n">
        <v>-22.195355</v>
      </c>
      <c r="H66" s="1" t="n">
        <v>-48.7801925</v>
      </c>
      <c r="I66" s="1" t="n">
        <v>-22.293224</v>
      </c>
      <c r="J66" s="1" t="n">
        <v>-48.5608001</v>
      </c>
      <c r="K66" s="1" t="n">
        <v>43.3</v>
      </c>
      <c r="L66" s="1" t="n">
        <v>38.9</v>
      </c>
      <c r="M66" s="1" t="s">
        <v>17</v>
      </c>
    </row>
    <row r="67" customFormat="false" ht="15" hidden="true" customHeight="false" outlineLevel="0" collapsed="false">
      <c r="A67" s="1" t="n">
        <v>0</v>
      </c>
      <c r="B67" s="1" t="n">
        <v>0</v>
      </c>
      <c r="C67" s="1" t="s">
        <v>54</v>
      </c>
      <c r="D67" s="1" t="s">
        <v>129</v>
      </c>
      <c r="E67" s="1" t="s">
        <v>130</v>
      </c>
      <c r="F67" s="1" t="s">
        <v>16</v>
      </c>
      <c r="G67" s="1" t="n">
        <v>-21.6212706</v>
      </c>
      <c r="H67" s="1" t="n">
        <v>-49.074135</v>
      </c>
      <c r="I67" s="1" t="n">
        <v>-21.7546344</v>
      </c>
      <c r="J67" s="1" t="n">
        <v>-48.8285504</v>
      </c>
      <c r="K67" s="1" t="n">
        <v>33.9</v>
      </c>
      <c r="L67" s="1" t="n">
        <v>33.5</v>
      </c>
      <c r="M67" s="1" t="s">
        <v>17</v>
      </c>
    </row>
    <row r="68" customFormat="false" ht="15" hidden="true" customHeight="false" outlineLevel="0" collapsed="false">
      <c r="A68" s="1" t="n">
        <v>0</v>
      </c>
      <c r="B68" s="1" t="n">
        <v>0</v>
      </c>
      <c r="C68" s="1" t="s">
        <v>30</v>
      </c>
      <c r="D68" s="1" t="s">
        <v>131</v>
      </c>
      <c r="E68" s="1" t="s">
        <v>132</v>
      </c>
      <c r="F68" s="1" t="s">
        <v>16</v>
      </c>
      <c r="G68" s="1" t="n">
        <v>-22.5700178</v>
      </c>
      <c r="H68" s="1" t="n">
        <v>-48.9714871</v>
      </c>
      <c r="I68" s="1" t="n">
        <v>-22.6003054</v>
      </c>
      <c r="J68" s="1" t="n">
        <v>-48.7952479</v>
      </c>
      <c r="K68" s="1" t="n">
        <v>25.2</v>
      </c>
      <c r="L68" s="1" t="n">
        <v>23.5</v>
      </c>
      <c r="M68" s="1" t="s">
        <v>17</v>
      </c>
    </row>
    <row r="69" customFormat="false" ht="15" hidden="true" customHeight="false" outlineLevel="0" collapsed="false">
      <c r="A69" s="1" t="n">
        <v>0</v>
      </c>
      <c r="B69" s="1" t="n">
        <v>0</v>
      </c>
      <c r="C69" s="1" t="s">
        <v>42</v>
      </c>
      <c r="D69" s="1" t="s">
        <v>43</v>
      </c>
      <c r="E69" s="1" t="s">
        <v>133</v>
      </c>
      <c r="F69" s="1" t="s">
        <v>16</v>
      </c>
      <c r="G69" s="1" t="n">
        <v>-21.5015319</v>
      </c>
      <c r="H69" s="1" t="n">
        <v>-50.3175246</v>
      </c>
      <c r="I69" s="1" t="n">
        <v>-21.4164035</v>
      </c>
      <c r="J69" s="1" t="n">
        <v>-50.0649111</v>
      </c>
      <c r="K69" s="1" t="n">
        <v>34.2</v>
      </c>
      <c r="L69" s="1" t="n">
        <v>30.1</v>
      </c>
      <c r="M69" s="1" t="s">
        <v>17</v>
      </c>
    </row>
    <row r="70" customFormat="false" ht="15" hidden="true" customHeight="false" outlineLevel="0" collapsed="false">
      <c r="A70" s="1" t="n">
        <v>0</v>
      </c>
      <c r="B70" s="1" t="n">
        <v>0</v>
      </c>
      <c r="C70" s="1" t="s">
        <v>42</v>
      </c>
      <c r="D70" s="1" t="s">
        <v>134</v>
      </c>
      <c r="E70" s="1" t="s">
        <v>135</v>
      </c>
      <c r="F70" s="1" t="s">
        <v>16</v>
      </c>
      <c r="G70" s="1" t="n">
        <v>-21.1671191</v>
      </c>
      <c r="H70" s="1" t="n">
        <v>-50.1850393</v>
      </c>
      <c r="I70" s="1" t="n">
        <v>-21.0613906</v>
      </c>
      <c r="J70" s="1" t="n">
        <v>-50.1468206</v>
      </c>
      <c r="K70" s="1" t="n">
        <v>18.1</v>
      </c>
      <c r="L70" s="1" t="n">
        <v>22.3</v>
      </c>
      <c r="M70" s="1" t="s">
        <v>17</v>
      </c>
    </row>
    <row r="71" customFormat="false" ht="15" hidden="true" customHeight="false" outlineLevel="0" collapsed="false">
      <c r="A71" s="1" t="n">
        <v>0</v>
      </c>
      <c r="B71" s="1" t="n">
        <v>0</v>
      </c>
      <c r="C71" s="1" t="s">
        <v>103</v>
      </c>
      <c r="D71" s="1" t="s">
        <v>136</v>
      </c>
      <c r="E71" s="1" t="s">
        <v>137</v>
      </c>
      <c r="F71" s="1" t="s">
        <v>16</v>
      </c>
      <c r="G71" s="1" t="n">
        <v>-20.9862299</v>
      </c>
      <c r="H71" s="1" t="n">
        <v>-47.6578768</v>
      </c>
      <c r="I71" s="1" t="n">
        <v>-20.9042867958423</v>
      </c>
      <c r="J71" s="1" t="n">
        <v>-47.5881540745098</v>
      </c>
      <c r="K71" s="1" t="n">
        <v>14.1</v>
      </c>
      <c r="L71" s="1" t="n">
        <v>14</v>
      </c>
      <c r="M71" s="1" t="s">
        <v>17</v>
      </c>
    </row>
    <row r="72" customFormat="false" ht="15" hidden="true" customHeight="false" outlineLevel="0" collapsed="false">
      <c r="A72" s="1" t="n">
        <v>0</v>
      </c>
      <c r="B72" s="1" t="n">
        <v>0</v>
      </c>
      <c r="C72" s="1" t="s">
        <v>30</v>
      </c>
      <c r="D72" s="1" t="s">
        <v>97</v>
      </c>
      <c r="E72" s="1" t="s">
        <v>138</v>
      </c>
      <c r="F72" s="1" t="s">
        <v>16</v>
      </c>
      <c r="G72" s="1" t="n">
        <v>-22.2840884</v>
      </c>
      <c r="H72" s="1" t="n">
        <v>-48.1267265</v>
      </c>
      <c r="I72" s="1" t="n">
        <v>-22.293224</v>
      </c>
      <c r="J72" s="1" t="n">
        <v>-48.5608001</v>
      </c>
      <c r="K72" s="1" t="n">
        <v>53.3</v>
      </c>
      <c r="L72" s="1" t="n">
        <v>41.4</v>
      </c>
      <c r="M72" s="1" t="s">
        <v>17</v>
      </c>
    </row>
    <row r="73" customFormat="false" ht="15" hidden="true" customHeight="false" outlineLevel="0" collapsed="false">
      <c r="A73" s="1" t="n">
        <v>0</v>
      </c>
      <c r="B73" s="1" t="n">
        <v>0</v>
      </c>
      <c r="C73" s="1" t="s">
        <v>68</v>
      </c>
      <c r="D73" s="1" t="s">
        <v>139</v>
      </c>
      <c r="E73" s="1" t="s">
        <v>140</v>
      </c>
      <c r="F73" s="1" t="s">
        <v>16</v>
      </c>
      <c r="G73" s="1" t="n">
        <v>-20.1933264</v>
      </c>
      <c r="H73" s="1" t="n">
        <v>-47.7097165</v>
      </c>
      <c r="I73" s="1" t="n">
        <v>-20.3365676196353</v>
      </c>
      <c r="J73" s="1" t="n">
        <v>-47.7881778744425</v>
      </c>
      <c r="K73" s="1" t="n">
        <v>28.9</v>
      </c>
      <c r="L73" s="1" t="n">
        <v>24.3</v>
      </c>
      <c r="M73" s="1" t="s">
        <v>17</v>
      </c>
    </row>
    <row r="74" customFormat="false" ht="15" hidden="true" customHeight="false" outlineLevel="0" collapsed="false">
      <c r="A74" s="1" t="n">
        <v>0</v>
      </c>
      <c r="B74" s="1" t="n">
        <v>0</v>
      </c>
      <c r="C74" s="1" t="s">
        <v>30</v>
      </c>
      <c r="D74" s="1" t="s">
        <v>141</v>
      </c>
      <c r="E74" s="1" t="s">
        <v>142</v>
      </c>
      <c r="F74" s="1" t="s">
        <v>16</v>
      </c>
      <c r="G74" s="1" t="n">
        <v>-22.4562909</v>
      </c>
      <c r="H74" s="1" t="n">
        <v>-49.3385645</v>
      </c>
      <c r="I74" s="1" t="n">
        <v>-22.4188119</v>
      </c>
      <c r="J74" s="1" t="n">
        <v>-49.4158972</v>
      </c>
      <c r="K74" s="1" t="n">
        <v>11.6</v>
      </c>
      <c r="L74" s="1" t="n">
        <v>13</v>
      </c>
      <c r="M74" s="1" t="s">
        <v>17</v>
      </c>
    </row>
    <row r="75" customFormat="false" ht="15" hidden="true" customHeight="false" outlineLevel="0" collapsed="false">
      <c r="A75" s="1" t="n">
        <v>0</v>
      </c>
      <c r="B75" s="1" t="n">
        <v>1</v>
      </c>
      <c r="C75" s="1" t="s">
        <v>82</v>
      </c>
      <c r="D75" s="1" t="s">
        <v>143</v>
      </c>
      <c r="E75" s="1" t="s">
        <v>144</v>
      </c>
      <c r="F75" s="1" t="s">
        <v>145</v>
      </c>
      <c r="G75" s="1" t="n">
        <v>-23.3076663</v>
      </c>
      <c r="H75" s="1" t="n">
        <v>-47.1324726</v>
      </c>
      <c r="I75" s="1" t="n">
        <v>-23.1838628</v>
      </c>
      <c r="J75" s="1" t="n">
        <v>-46.8899187</v>
      </c>
      <c r="K75" s="1" t="n">
        <v>36</v>
      </c>
      <c r="L75" s="1" t="n">
        <v>33.3</v>
      </c>
      <c r="M75" s="1" t="s">
        <v>17</v>
      </c>
    </row>
    <row r="76" customFormat="false" ht="15" hidden="true" customHeight="false" outlineLevel="0" collapsed="false">
      <c r="A76" s="1" t="n">
        <v>0</v>
      </c>
      <c r="B76" s="1" t="n">
        <v>1</v>
      </c>
      <c r="C76" s="1" t="s">
        <v>82</v>
      </c>
      <c r="D76" s="1" t="s">
        <v>143</v>
      </c>
      <c r="E76" s="1" t="s">
        <v>144</v>
      </c>
      <c r="F76" s="1" t="s">
        <v>146</v>
      </c>
      <c r="G76" s="1" t="n">
        <v>-23.3076663</v>
      </c>
      <c r="H76" s="1" t="n">
        <v>-47.1324726</v>
      </c>
      <c r="I76" s="1" t="n">
        <v>-23.205120222563</v>
      </c>
      <c r="J76" s="1" t="n">
        <v>-46.8921294032143</v>
      </c>
      <c r="K76" s="1" t="n">
        <v>36.2</v>
      </c>
      <c r="L76" s="1" t="n">
        <v>32.9</v>
      </c>
      <c r="M76" s="1" t="s">
        <v>17</v>
      </c>
    </row>
    <row r="77" customFormat="false" ht="15" hidden="true" customHeight="false" outlineLevel="0" collapsed="false">
      <c r="A77" s="1" t="n">
        <v>0</v>
      </c>
      <c r="B77" s="1" t="n">
        <v>0</v>
      </c>
      <c r="C77" s="1" t="s">
        <v>61</v>
      </c>
      <c r="D77" s="1" t="s">
        <v>147</v>
      </c>
      <c r="E77" s="1" t="s">
        <v>148</v>
      </c>
      <c r="F77" s="1" t="s">
        <v>16</v>
      </c>
      <c r="G77" s="1" t="n">
        <v>-22.6605578</v>
      </c>
      <c r="H77" s="1" t="n">
        <v>-45.0081689</v>
      </c>
      <c r="I77" s="1" t="n">
        <v>-22.7331092</v>
      </c>
      <c r="J77" s="1" t="n">
        <v>-45.1221271</v>
      </c>
      <c r="K77" s="1" t="n">
        <v>18</v>
      </c>
      <c r="L77" s="1" t="n">
        <v>17.7</v>
      </c>
      <c r="M77" s="1" t="s">
        <v>17</v>
      </c>
    </row>
    <row r="78" customFormat="false" ht="15" hidden="true" customHeight="false" outlineLevel="0" collapsed="false">
      <c r="A78" s="1" t="n">
        <v>0</v>
      </c>
      <c r="B78" s="1" t="n">
        <v>0</v>
      </c>
      <c r="C78" s="1" t="s">
        <v>30</v>
      </c>
      <c r="D78" s="1" t="s">
        <v>149</v>
      </c>
      <c r="E78" s="1" t="s">
        <v>150</v>
      </c>
      <c r="F78" s="1" t="s">
        <v>16</v>
      </c>
      <c r="G78" s="1" t="n">
        <v>-21.8054355</v>
      </c>
      <c r="H78" s="1" t="n">
        <v>-49.6030627</v>
      </c>
      <c r="I78" s="1" t="n">
        <v>-21.6721141</v>
      </c>
      <c r="J78" s="1" t="n">
        <v>-49.7555107</v>
      </c>
      <c r="K78" s="1" t="n">
        <v>25</v>
      </c>
      <c r="L78" s="1" t="n">
        <v>20.1</v>
      </c>
      <c r="M78" s="1" t="s">
        <v>17</v>
      </c>
    </row>
    <row r="79" customFormat="false" ht="15" hidden="true" customHeight="false" outlineLevel="0" collapsed="false">
      <c r="A79" s="1" t="n">
        <v>0</v>
      </c>
      <c r="B79" s="1" t="n">
        <v>0</v>
      </c>
      <c r="C79" s="1" t="s">
        <v>18</v>
      </c>
      <c r="D79" s="1" t="s">
        <v>151</v>
      </c>
      <c r="E79" s="1" t="s">
        <v>152</v>
      </c>
      <c r="F79" s="1" t="s">
        <v>16</v>
      </c>
      <c r="G79" s="1" t="n">
        <v>-22.0143038</v>
      </c>
      <c r="H79" s="1" t="n">
        <v>-51.2356597</v>
      </c>
      <c r="I79" s="1" t="n">
        <v>-22.1431815</v>
      </c>
      <c r="J79" s="1" t="n">
        <v>-51.1715728</v>
      </c>
      <c r="K79" s="1" t="n">
        <v>18.9</v>
      </c>
      <c r="L79" s="1" t="n">
        <v>19.4</v>
      </c>
      <c r="M79" s="1" t="s">
        <v>17</v>
      </c>
    </row>
    <row r="80" customFormat="false" ht="15" hidden="true" customHeight="false" outlineLevel="0" collapsed="false">
      <c r="A80" s="1" t="n">
        <v>0</v>
      </c>
      <c r="B80" s="1" t="n">
        <v>0</v>
      </c>
      <c r="C80" s="1" t="s">
        <v>153</v>
      </c>
      <c r="D80" s="1" t="s">
        <v>153</v>
      </c>
      <c r="E80" s="1" t="s">
        <v>154</v>
      </c>
      <c r="F80" s="1" t="s">
        <v>16</v>
      </c>
      <c r="G80" s="1" t="n">
        <v>-21.8319357</v>
      </c>
      <c r="H80" s="1" t="n">
        <v>-51.9887179</v>
      </c>
      <c r="I80" s="1" t="n">
        <v>-21.8714290876156</v>
      </c>
      <c r="J80" s="1" t="n">
        <v>-51.841602703319</v>
      </c>
      <c r="K80" s="1" t="n">
        <v>21.7</v>
      </c>
      <c r="L80" s="1" t="n">
        <v>19.8</v>
      </c>
      <c r="M80" s="1" t="s">
        <v>17</v>
      </c>
    </row>
    <row r="81" customFormat="false" ht="15" hidden="true" customHeight="false" outlineLevel="0" collapsed="false">
      <c r="A81" s="1" t="n">
        <v>0</v>
      </c>
      <c r="B81" s="1" t="n">
        <v>0</v>
      </c>
      <c r="C81" s="1" t="s">
        <v>39</v>
      </c>
      <c r="D81" s="1" t="s">
        <v>40</v>
      </c>
      <c r="E81" s="1" t="s">
        <v>155</v>
      </c>
      <c r="F81" s="1" t="s">
        <v>16</v>
      </c>
      <c r="G81" s="1" t="n">
        <v>-20.8776238</v>
      </c>
      <c r="H81" s="1" t="n">
        <v>-48.8106972</v>
      </c>
      <c r="I81" s="1" t="n">
        <v>-20.7391605987288</v>
      </c>
      <c r="J81" s="1" t="n">
        <v>-48.9064223670385</v>
      </c>
      <c r="K81" s="1" t="n">
        <v>28.7</v>
      </c>
      <c r="L81" s="1" t="n">
        <v>27.1</v>
      </c>
      <c r="M81" s="1" t="s">
        <v>17</v>
      </c>
    </row>
    <row r="82" customFormat="false" ht="15" hidden="true" customHeight="false" outlineLevel="0" collapsed="false">
      <c r="A82" s="1" t="n">
        <v>0</v>
      </c>
      <c r="B82" s="1" t="n">
        <v>0</v>
      </c>
      <c r="C82" s="1" t="s">
        <v>34</v>
      </c>
      <c r="D82" s="1" t="s">
        <v>156</v>
      </c>
      <c r="E82" s="1" t="s">
        <v>157</v>
      </c>
      <c r="F82" s="1" t="s">
        <v>16</v>
      </c>
      <c r="G82" s="1" t="n">
        <v>-23.5935653</v>
      </c>
      <c r="H82" s="1" t="n">
        <v>-48.4801876</v>
      </c>
      <c r="I82" s="1" t="n">
        <v>-23.4923338949423</v>
      </c>
      <c r="J82" s="1" t="n">
        <v>-48.4149366556336</v>
      </c>
      <c r="K82" s="1" t="n">
        <v>20.9</v>
      </c>
      <c r="L82" s="1" t="n">
        <v>20</v>
      </c>
      <c r="M82" s="1" t="s">
        <v>17</v>
      </c>
    </row>
    <row r="83" customFormat="false" ht="15" hidden="true" customHeight="false" outlineLevel="0" collapsed="false">
      <c r="A83" s="1" t="n">
        <v>0</v>
      </c>
      <c r="B83" s="1" t="n">
        <v>1</v>
      </c>
      <c r="C83" s="1" t="s">
        <v>82</v>
      </c>
      <c r="D83" s="1" t="s">
        <v>143</v>
      </c>
      <c r="E83" s="1" t="s">
        <v>158</v>
      </c>
      <c r="F83" s="1" t="s">
        <v>146</v>
      </c>
      <c r="G83" s="1" t="n">
        <v>-23.207791</v>
      </c>
      <c r="H83" s="1" t="n">
        <v>-46.788919</v>
      </c>
      <c r="I83" s="1" t="n">
        <v>-23.205120222563</v>
      </c>
      <c r="J83" s="1" t="n">
        <v>-46.8921294032143</v>
      </c>
      <c r="K83" s="1" t="n">
        <v>13.7</v>
      </c>
      <c r="L83" s="1" t="n">
        <v>19.9</v>
      </c>
      <c r="M83" s="1" t="s">
        <v>17</v>
      </c>
    </row>
    <row r="84" customFormat="false" ht="15" hidden="true" customHeight="false" outlineLevel="0" collapsed="false">
      <c r="A84" s="1" t="n">
        <v>0</v>
      </c>
      <c r="B84" s="1" t="n">
        <v>1</v>
      </c>
      <c r="C84" s="1" t="s">
        <v>82</v>
      </c>
      <c r="D84" s="1" t="s">
        <v>143</v>
      </c>
      <c r="E84" s="1" t="s">
        <v>158</v>
      </c>
      <c r="F84" s="1" t="s">
        <v>145</v>
      </c>
      <c r="G84" s="1" t="n">
        <v>-23.207791</v>
      </c>
      <c r="H84" s="1" t="n">
        <v>-46.788919</v>
      </c>
      <c r="I84" s="1" t="n">
        <v>-23.1838628</v>
      </c>
      <c r="J84" s="1" t="n">
        <v>-46.8899187</v>
      </c>
      <c r="K84" s="1" t="n">
        <v>14.2</v>
      </c>
      <c r="L84" s="1" t="n">
        <v>18.6</v>
      </c>
      <c r="M84" s="1" t="s">
        <v>17</v>
      </c>
    </row>
    <row r="85" customFormat="false" ht="15" hidden="false" customHeight="false" outlineLevel="0" collapsed="false">
      <c r="A85" s="1" t="n">
        <v>0</v>
      </c>
      <c r="B85" s="1" t="n">
        <v>1</v>
      </c>
      <c r="C85" s="1" t="s">
        <v>49</v>
      </c>
      <c r="D85" s="1" t="s">
        <v>49</v>
      </c>
      <c r="E85" s="1" t="s">
        <v>159</v>
      </c>
      <c r="F85" s="1" t="s">
        <v>51</v>
      </c>
      <c r="G85" s="1" t="n">
        <v>-22.601952</v>
      </c>
      <c r="H85" s="1" t="n">
        <v>-49.998726</v>
      </c>
      <c r="I85" s="1" t="n">
        <v>-22.227114</v>
      </c>
      <c r="J85" s="1" t="n">
        <v>-49.9359818</v>
      </c>
      <c r="K85" s="1" t="n">
        <v>61.8</v>
      </c>
      <c r="L85" s="1" t="n">
        <v>53.9</v>
      </c>
      <c r="M85" s="1" t="s">
        <v>17</v>
      </c>
    </row>
    <row r="86" customFormat="false" ht="15" hidden="false" customHeight="false" outlineLevel="0" collapsed="false">
      <c r="A86" s="1" t="n">
        <v>0</v>
      </c>
      <c r="B86" s="1" t="n">
        <v>1</v>
      </c>
      <c r="C86" s="1" t="s">
        <v>49</v>
      </c>
      <c r="D86" s="1" t="s">
        <v>49</v>
      </c>
      <c r="E86" s="1" t="s">
        <v>159</v>
      </c>
      <c r="F86" s="1" t="s">
        <v>52</v>
      </c>
      <c r="G86" s="1" t="n">
        <v>-22.601952</v>
      </c>
      <c r="H86" s="1" t="n">
        <v>-49.998726</v>
      </c>
      <c r="I86" s="1" t="n">
        <v>-22.224027</v>
      </c>
      <c r="J86" s="1" t="n">
        <v>-49.9472085</v>
      </c>
      <c r="K86" s="1" t="n">
        <v>62.7</v>
      </c>
      <c r="L86" s="1" t="n">
        <v>53.5</v>
      </c>
      <c r="M86" s="1" t="s">
        <v>17</v>
      </c>
    </row>
    <row r="87" customFormat="false" ht="15" hidden="true" customHeight="false" outlineLevel="0" collapsed="false">
      <c r="A87" s="1" t="n">
        <v>0</v>
      </c>
      <c r="B87" s="1" t="n">
        <v>0</v>
      </c>
      <c r="C87" s="1" t="s">
        <v>61</v>
      </c>
      <c r="D87" s="1" t="s">
        <v>147</v>
      </c>
      <c r="E87" s="1" t="s">
        <v>160</v>
      </c>
      <c r="F87" s="1" t="s">
        <v>16</v>
      </c>
      <c r="G87" s="1" t="n">
        <v>-22.7029347</v>
      </c>
      <c r="H87" s="1" t="n">
        <v>-45.0526508</v>
      </c>
      <c r="I87" s="1" t="n">
        <v>-22.7331092</v>
      </c>
      <c r="J87" s="1" t="n">
        <v>-45.1221271</v>
      </c>
      <c r="K87" s="1" t="n">
        <v>9.2</v>
      </c>
      <c r="L87" s="1" t="n">
        <v>12</v>
      </c>
      <c r="M87" s="1" t="s">
        <v>17</v>
      </c>
    </row>
    <row r="88" customFormat="false" ht="15" hidden="true" customHeight="false" outlineLevel="0" collapsed="false">
      <c r="A88" s="1" t="n">
        <v>0</v>
      </c>
      <c r="B88" s="1" t="n">
        <v>0</v>
      </c>
      <c r="C88" s="1" t="s">
        <v>112</v>
      </c>
      <c r="D88" s="1" t="s">
        <v>112</v>
      </c>
      <c r="E88" s="1" t="s">
        <v>161</v>
      </c>
      <c r="F88" s="1" t="s">
        <v>16</v>
      </c>
      <c r="G88" s="1" t="n">
        <v>-22.7434964</v>
      </c>
      <c r="H88" s="1" t="n">
        <v>-50.38924</v>
      </c>
      <c r="I88" s="1" t="n">
        <v>-22.6475712</v>
      </c>
      <c r="J88" s="1" t="n">
        <v>-50.4055842</v>
      </c>
      <c r="K88" s="1" t="n">
        <v>12.7</v>
      </c>
      <c r="L88" s="1" t="n">
        <v>13.3</v>
      </c>
      <c r="M88" s="1" t="s">
        <v>17</v>
      </c>
    </row>
    <row r="89" customFormat="false" ht="15" hidden="true" customHeight="false" outlineLevel="0" collapsed="false">
      <c r="A89" s="1" t="n">
        <v>0</v>
      </c>
      <c r="B89" s="1" t="n">
        <v>0</v>
      </c>
      <c r="C89" s="1" t="s">
        <v>54</v>
      </c>
      <c r="D89" s="1" t="s">
        <v>162</v>
      </c>
      <c r="E89" s="1" t="s">
        <v>163</v>
      </c>
      <c r="F89" s="1" t="s">
        <v>16</v>
      </c>
      <c r="G89" s="1" t="n">
        <v>-21.3255615</v>
      </c>
      <c r="H89" s="1" t="n">
        <v>-48.6308798</v>
      </c>
      <c r="I89" s="1" t="n">
        <v>-21.3992546</v>
      </c>
      <c r="J89" s="1" t="n">
        <v>-48.4983519</v>
      </c>
      <c r="K89" s="1" t="n">
        <v>21.5</v>
      </c>
      <c r="L89" s="1" t="n">
        <v>25.2</v>
      </c>
      <c r="M89" s="1" t="s">
        <v>17</v>
      </c>
    </row>
    <row r="90" customFormat="false" ht="15" hidden="true" customHeight="false" outlineLevel="0" collapsed="false">
      <c r="A90" s="1" t="n">
        <v>0</v>
      </c>
      <c r="B90" s="1" t="n">
        <v>0</v>
      </c>
      <c r="C90" s="1" t="s">
        <v>112</v>
      </c>
      <c r="D90" s="1" t="s">
        <v>164</v>
      </c>
      <c r="E90" s="1" t="s">
        <v>165</v>
      </c>
      <c r="F90" s="1" t="s">
        <v>16</v>
      </c>
      <c r="G90" s="1" t="n">
        <v>-23.0066616</v>
      </c>
      <c r="H90" s="1" t="n">
        <v>-49.7840632</v>
      </c>
      <c r="I90" s="1" t="n">
        <v>-22.983918</v>
      </c>
      <c r="J90" s="1" t="n">
        <v>-49.8691021</v>
      </c>
      <c r="K90" s="1" t="n">
        <v>10.5</v>
      </c>
      <c r="L90" s="1" t="n">
        <v>12.1</v>
      </c>
      <c r="M90" s="1" t="s">
        <v>17</v>
      </c>
    </row>
    <row r="91" customFormat="false" ht="15" hidden="true" customHeight="false" outlineLevel="0" collapsed="false">
      <c r="A91" s="1" t="n">
        <v>0</v>
      </c>
      <c r="B91" s="1" t="n">
        <v>0</v>
      </c>
      <c r="C91" s="1" t="s">
        <v>34</v>
      </c>
      <c r="D91" s="1" t="s">
        <v>121</v>
      </c>
      <c r="E91" s="1" t="s">
        <v>166</v>
      </c>
      <c r="F91" s="1" t="s">
        <v>16</v>
      </c>
      <c r="G91" s="1" t="n">
        <v>-23.4704798</v>
      </c>
      <c r="H91" s="1" t="n">
        <v>-47.7352309</v>
      </c>
      <c r="I91" s="1" t="n">
        <v>-23.3522859</v>
      </c>
      <c r="J91" s="1" t="n">
        <v>-47.8445248</v>
      </c>
      <c r="K91" s="1" t="n">
        <v>20.6</v>
      </c>
      <c r="L91" s="1" t="n">
        <v>22.1</v>
      </c>
      <c r="M91" s="1" t="s">
        <v>17</v>
      </c>
    </row>
    <row r="92" customFormat="false" ht="15" hidden="true" customHeight="false" outlineLevel="0" collapsed="false">
      <c r="A92" s="1" t="n">
        <v>0</v>
      </c>
      <c r="B92" s="1" t="n">
        <v>1</v>
      </c>
      <c r="C92" s="1" t="s">
        <v>106</v>
      </c>
      <c r="D92" s="1" t="s">
        <v>107</v>
      </c>
      <c r="E92" s="1" t="s">
        <v>167</v>
      </c>
      <c r="F92" s="1" t="s">
        <v>16</v>
      </c>
      <c r="G92" s="1" t="n">
        <v>-23.5234673</v>
      </c>
      <c r="H92" s="1" t="n">
        <v>-46.8406808</v>
      </c>
      <c r="I92" s="1" t="n">
        <v>-23.5706964</v>
      </c>
      <c r="J92" s="1" t="n">
        <v>-46.7104754</v>
      </c>
      <c r="K92" s="1" t="n">
        <v>17.8</v>
      </c>
      <c r="L92" s="1" t="n">
        <v>19.3</v>
      </c>
      <c r="M92" s="1" t="s">
        <v>17</v>
      </c>
    </row>
    <row r="93" customFormat="false" ht="15" hidden="true" customHeight="false" outlineLevel="0" collapsed="false">
      <c r="A93" s="1" t="n">
        <v>0</v>
      </c>
      <c r="B93" s="1" t="n">
        <v>0</v>
      </c>
      <c r="C93" s="1" t="s">
        <v>13</v>
      </c>
      <c r="D93" s="1" t="s">
        <v>46</v>
      </c>
      <c r="E93" s="1" t="s">
        <v>168</v>
      </c>
      <c r="F93" s="1" t="s">
        <v>16</v>
      </c>
      <c r="G93" s="1" t="n">
        <v>-20.080447</v>
      </c>
      <c r="H93" s="1" t="n">
        <v>-49.9139767</v>
      </c>
      <c r="I93" s="1" t="n">
        <v>-20.4262217</v>
      </c>
      <c r="J93" s="1" t="n">
        <v>-49.9787386</v>
      </c>
      <c r="K93" s="1" t="n">
        <v>41.6</v>
      </c>
      <c r="L93" s="1" t="n">
        <v>40</v>
      </c>
      <c r="M93" s="1" t="s">
        <v>17</v>
      </c>
    </row>
    <row r="94" customFormat="false" ht="15" hidden="true" customHeight="false" outlineLevel="0" collapsed="false">
      <c r="A94" s="1" t="n">
        <v>0</v>
      </c>
      <c r="B94" s="1" t="n">
        <v>0</v>
      </c>
      <c r="C94" s="1" t="s">
        <v>21</v>
      </c>
      <c r="D94" s="1" t="s">
        <v>169</v>
      </c>
      <c r="E94" s="1" t="s">
        <v>170</v>
      </c>
      <c r="F94" s="1" t="s">
        <v>16</v>
      </c>
      <c r="G94" s="1" t="n">
        <v>-21.7743137</v>
      </c>
      <c r="H94" s="1" t="n">
        <v>-47.0852175</v>
      </c>
      <c r="I94" s="1" t="n">
        <v>-21.6037017</v>
      </c>
      <c r="J94" s="1" t="n">
        <v>-46.8940207</v>
      </c>
      <c r="K94" s="1" t="n">
        <v>33</v>
      </c>
      <c r="L94" s="1" t="n">
        <v>35.2</v>
      </c>
      <c r="M94" s="1" t="s">
        <v>17</v>
      </c>
    </row>
    <row r="95" customFormat="false" ht="15" hidden="true" customHeight="false" outlineLevel="0" collapsed="false">
      <c r="A95" s="1" t="n">
        <v>0</v>
      </c>
      <c r="B95" s="1" t="n">
        <v>0</v>
      </c>
      <c r="C95" s="1" t="s">
        <v>103</v>
      </c>
      <c r="D95" s="1" t="s">
        <v>171</v>
      </c>
      <c r="E95" s="1" t="s">
        <v>172</v>
      </c>
      <c r="F95" s="1" t="s">
        <v>16</v>
      </c>
      <c r="G95" s="1" t="n">
        <v>-21.280082</v>
      </c>
      <c r="H95" s="1" t="n">
        <v>-47.164327</v>
      </c>
      <c r="I95" s="1" t="n">
        <v>-21.2742583216393</v>
      </c>
      <c r="J95" s="1" t="n">
        <v>-47.3056357573004</v>
      </c>
      <c r="K95" s="1" t="n">
        <v>17.1</v>
      </c>
      <c r="L95" s="1" t="n">
        <v>20</v>
      </c>
      <c r="M95" s="1" t="s">
        <v>17</v>
      </c>
    </row>
    <row r="96" customFormat="false" ht="15" hidden="true" customHeight="false" outlineLevel="0" collapsed="false">
      <c r="A96" s="1" t="n">
        <v>0</v>
      </c>
      <c r="B96" s="1" t="n">
        <v>0</v>
      </c>
      <c r="C96" s="1" t="s">
        <v>13</v>
      </c>
      <c r="D96" s="1" t="s">
        <v>80</v>
      </c>
      <c r="E96" s="1" t="s">
        <v>173</v>
      </c>
      <c r="F96" s="1" t="s">
        <v>16</v>
      </c>
      <c r="G96" s="1" t="n">
        <v>-21.0491485</v>
      </c>
      <c r="H96" s="1" t="n">
        <v>-49.0578923</v>
      </c>
      <c r="I96" s="1" t="n">
        <v>-21.1407509</v>
      </c>
      <c r="J96" s="1" t="n">
        <v>-48.9754937</v>
      </c>
      <c r="K96" s="1" t="n">
        <v>15.9</v>
      </c>
      <c r="L96" s="1" t="n">
        <v>19.3</v>
      </c>
      <c r="M96" s="1" t="s">
        <v>17</v>
      </c>
    </row>
    <row r="97" customFormat="false" ht="15" hidden="true" customHeight="false" outlineLevel="0" collapsed="false">
      <c r="A97" s="1" t="n">
        <v>0</v>
      </c>
      <c r="B97" s="1" t="n">
        <v>0</v>
      </c>
      <c r="C97" s="1" t="s">
        <v>24</v>
      </c>
      <c r="D97" s="1" t="s">
        <v>25</v>
      </c>
      <c r="E97" s="1" t="s">
        <v>174</v>
      </c>
      <c r="F97" s="1" t="s">
        <v>16</v>
      </c>
      <c r="G97" s="1" t="n">
        <v>-23.0353135</v>
      </c>
      <c r="H97" s="1" t="n">
        <v>-49.1650519</v>
      </c>
      <c r="I97" s="1" t="n">
        <v>-23.1036883</v>
      </c>
      <c r="J97" s="1" t="n">
        <v>-48.9287403</v>
      </c>
      <c r="K97" s="1" t="n">
        <v>28</v>
      </c>
      <c r="L97" s="1" t="n">
        <v>32</v>
      </c>
      <c r="M97" s="1" t="s">
        <v>17</v>
      </c>
    </row>
    <row r="98" customFormat="false" ht="15" hidden="true" customHeight="false" outlineLevel="0" collapsed="false">
      <c r="A98" s="1" t="n">
        <v>0</v>
      </c>
      <c r="B98" s="1" t="n">
        <v>0</v>
      </c>
      <c r="C98" s="1" t="s">
        <v>34</v>
      </c>
      <c r="D98" s="1" t="s">
        <v>121</v>
      </c>
      <c r="E98" s="1" t="s">
        <v>175</v>
      </c>
      <c r="F98" s="1" t="s">
        <v>16</v>
      </c>
      <c r="G98" s="1" t="n">
        <v>-23.1626556</v>
      </c>
      <c r="H98" s="1" t="n">
        <v>-47.7433878</v>
      </c>
      <c r="I98" s="1" t="n">
        <v>-23.3522859</v>
      </c>
      <c r="J98" s="1" t="n">
        <v>-47.8445248</v>
      </c>
      <c r="K98" s="1" t="n">
        <v>28.6</v>
      </c>
      <c r="L98" s="1" t="n">
        <v>23.7</v>
      </c>
      <c r="M98" s="1" t="s">
        <v>17</v>
      </c>
    </row>
    <row r="99" customFormat="false" ht="15" hidden="true" customHeight="false" outlineLevel="0" collapsed="false">
      <c r="A99" s="1" t="n">
        <v>0</v>
      </c>
      <c r="B99" s="1" t="n">
        <v>0</v>
      </c>
      <c r="C99" s="1" t="s">
        <v>34</v>
      </c>
      <c r="D99" s="1" t="s">
        <v>121</v>
      </c>
      <c r="E99" s="1" t="s">
        <v>176</v>
      </c>
      <c r="F99" s="1" t="s">
        <v>16</v>
      </c>
      <c r="G99" s="1" t="n">
        <v>-23.226035</v>
      </c>
      <c r="H99" s="1" t="n">
        <v>-47.954453</v>
      </c>
      <c r="I99" s="1" t="n">
        <v>-23.3522859</v>
      </c>
      <c r="J99" s="1" t="n">
        <v>-47.8445248</v>
      </c>
      <c r="K99" s="1" t="n">
        <v>19.5</v>
      </c>
      <c r="L99" s="1" t="n">
        <v>25</v>
      </c>
      <c r="M99" s="1" t="s">
        <v>17</v>
      </c>
    </row>
    <row r="100" customFormat="false" ht="15" hidden="true" customHeight="false" outlineLevel="0" collapsed="false">
      <c r="A100" s="1" t="n">
        <v>0</v>
      </c>
      <c r="B100" s="1" t="n">
        <v>0</v>
      </c>
      <c r="C100" s="1" t="s">
        <v>27</v>
      </c>
      <c r="D100" s="1" t="s">
        <v>28</v>
      </c>
      <c r="E100" s="1" t="s">
        <v>177</v>
      </c>
      <c r="F100" s="1" t="s">
        <v>16</v>
      </c>
      <c r="G100" s="1" t="n">
        <v>-22.50958</v>
      </c>
      <c r="H100" s="1" t="n">
        <v>-47.775468</v>
      </c>
      <c r="I100" s="1" t="n">
        <v>-22.5480833</v>
      </c>
      <c r="J100" s="1" t="n">
        <v>-47.914176</v>
      </c>
      <c r="K100" s="1" t="n">
        <v>21.7</v>
      </c>
      <c r="L100" s="1" t="n">
        <v>19.2</v>
      </c>
      <c r="M100" s="1" t="s">
        <v>17</v>
      </c>
    </row>
    <row r="101" customFormat="false" ht="15" hidden="true" customHeight="false" outlineLevel="0" collapsed="false">
      <c r="A101" s="1" t="n">
        <v>0</v>
      </c>
      <c r="B101" s="1" t="n">
        <v>0</v>
      </c>
      <c r="C101" s="1" t="s">
        <v>112</v>
      </c>
      <c r="D101" s="1" t="s">
        <v>164</v>
      </c>
      <c r="E101" s="1" t="s">
        <v>178</v>
      </c>
      <c r="F101" s="1" t="s">
        <v>16</v>
      </c>
      <c r="G101" s="1" t="n">
        <v>-23.0406405</v>
      </c>
      <c r="H101" s="1" t="n">
        <v>-49.7071698</v>
      </c>
      <c r="I101" s="1" t="n">
        <v>-22.983918</v>
      </c>
      <c r="J101" s="1" t="n">
        <v>-49.8691021</v>
      </c>
      <c r="K101" s="1" t="n">
        <v>19.5</v>
      </c>
      <c r="L101" s="1" t="n">
        <v>19.1</v>
      </c>
      <c r="M101" s="1" t="s">
        <v>17</v>
      </c>
    </row>
    <row r="102" customFormat="false" ht="15" hidden="true" customHeight="false" outlineLevel="0" collapsed="false">
      <c r="A102" s="1" t="n">
        <v>0</v>
      </c>
      <c r="B102" s="1" t="n">
        <v>0</v>
      </c>
      <c r="C102" s="1" t="s">
        <v>27</v>
      </c>
      <c r="D102" s="1" t="s">
        <v>179</v>
      </c>
      <c r="E102" s="1" t="s">
        <v>180</v>
      </c>
      <c r="F102" s="1" t="s">
        <v>16</v>
      </c>
      <c r="G102" s="1" t="n">
        <v>-22.337512</v>
      </c>
      <c r="H102" s="1" t="n">
        <v>-47.172927</v>
      </c>
      <c r="I102" s="1" t="n">
        <v>-22.3576016921778</v>
      </c>
      <c r="J102" s="1" t="n">
        <v>-47.3798927916678</v>
      </c>
      <c r="K102" s="1" t="n">
        <v>26.8</v>
      </c>
      <c r="L102" s="1" t="n">
        <v>24.4</v>
      </c>
      <c r="M102" s="1" t="s">
        <v>17</v>
      </c>
    </row>
    <row r="103" customFormat="false" ht="15" hidden="true" customHeight="false" outlineLevel="0" collapsed="false">
      <c r="A103" s="1" t="n">
        <v>0</v>
      </c>
      <c r="B103" s="1" t="n">
        <v>0</v>
      </c>
      <c r="C103" s="1" t="s">
        <v>27</v>
      </c>
      <c r="D103" s="1" t="s">
        <v>181</v>
      </c>
      <c r="E103" s="1" t="s">
        <v>182</v>
      </c>
      <c r="F103" s="1" t="s">
        <v>16</v>
      </c>
      <c r="G103" s="1" t="n">
        <v>-22.4768324</v>
      </c>
      <c r="H103" s="1" t="n">
        <v>-47.4550551</v>
      </c>
      <c r="I103" s="1" t="n">
        <v>-22.579273</v>
      </c>
      <c r="J103" s="1" t="n">
        <v>-47.4005557</v>
      </c>
      <c r="K103" s="1" t="n">
        <v>15.4</v>
      </c>
      <c r="L103" s="1" t="n">
        <v>19.9</v>
      </c>
      <c r="M103" s="1" t="s">
        <v>17</v>
      </c>
    </row>
    <row r="104" customFormat="false" ht="15" hidden="true" customHeight="false" outlineLevel="0" collapsed="false">
      <c r="A104" s="1" t="n">
        <v>0</v>
      </c>
      <c r="B104" s="1" t="n">
        <v>0</v>
      </c>
      <c r="C104" s="1" t="s">
        <v>42</v>
      </c>
      <c r="D104" s="1" t="s">
        <v>183</v>
      </c>
      <c r="E104" s="1" t="s">
        <v>184</v>
      </c>
      <c r="F104" s="1" t="s">
        <v>16</v>
      </c>
      <c r="G104" s="1" t="n">
        <v>-21.3554634</v>
      </c>
      <c r="H104" s="1" t="n">
        <v>-50.2853589</v>
      </c>
      <c r="I104" s="1" t="n">
        <v>-21.2811966803355</v>
      </c>
      <c r="J104" s="1" t="n">
        <v>-50.3352021152299</v>
      </c>
      <c r="K104" s="1" t="n">
        <v>11.3</v>
      </c>
      <c r="L104" s="1" t="n">
        <v>14.6</v>
      </c>
      <c r="M104" s="1" t="s">
        <v>17</v>
      </c>
    </row>
    <row r="105" customFormat="false" ht="15" hidden="true" customHeight="false" outlineLevel="0" collapsed="false">
      <c r="A105" s="1" t="n">
        <v>0</v>
      </c>
      <c r="B105" s="1" t="n">
        <v>0</v>
      </c>
      <c r="C105" s="1" t="s">
        <v>24</v>
      </c>
      <c r="D105" s="1" t="s">
        <v>94</v>
      </c>
      <c r="E105" s="1" t="s">
        <v>185</v>
      </c>
      <c r="F105" s="1" t="s">
        <v>16</v>
      </c>
      <c r="G105" s="1" t="n">
        <v>-23.6304001</v>
      </c>
      <c r="H105" s="1" t="n">
        <v>-49.313234</v>
      </c>
      <c r="I105" s="1" t="n">
        <v>-23.5330527</v>
      </c>
      <c r="J105" s="1" t="n">
        <v>-49.2450779</v>
      </c>
      <c r="K105" s="1" t="n">
        <v>17.9</v>
      </c>
      <c r="L105" s="1" t="n">
        <v>18.1</v>
      </c>
      <c r="M105" s="1" t="s">
        <v>17</v>
      </c>
    </row>
    <row r="106" customFormat="false" ht="15" hidden="true" customHeight="false" outlineLevel="0" collapsed="false">
      <c r="A106" s="1" t="n">
        <v>0</v>
      </c>
      <c r="B106" s="1" t="n">
        <v>0</v>
      </c>
      <c r="C106" s="1" t="s">
        <v>27</v>
      </c>
      <c r="D106" s="1" t="s">
        <v>186</v>
      </c>
      <c r="E106" s="1" t="s">
        <v>187</v>
      </c>
      <c r="F106" s="1" t="s">
        <v>16</v>
      </c>
      <c r="G106" s="1" t="n">
        <v>-22.2210521</v>
      </c>
      <c r="H106" s="1" t="n">
        <v>-47.6249638</v>
      </c>
      <c r="I106" s="1" t="n">
        <v>-22.4187754</v>
      </c>
      <c r="J106" s="1" t="n">
        <v>-47.5667708</v>
      </c>
      <c r="K106" s="1" t="n">
        <v>30</v>
      </c>
      <c r="L106" s="1" t="n">
        <v>28.3</v>
      </c>
      <c r="M106" s="1" t="s">
        <v>17</v>
      </c>
    </row>
    <row r="107" customFormat="false" ht="15" hidden="true" customHeight="false" outlineLevel="0" collapsed="false">
      <c r="A107" s="1" t="n">
        <v>0</v>
      </c>
      <c r="B107" s="1" t="n">
        <v>0</v>
      </c>
      <c r="C107" s="1" t="s">
        <v>82</v>
      </c>
      <c r="D107" s="1" t="s">
        <v>188</v>
      </c>
      <c r="E107" s="1" t="s">
        <v>189</v>
      </c>
      <c r="F107" s="1" t="s">
        <v>16</v>
      </c>
      <c r="G107" s="1" t="n">
        <v>-22.6437398</v>
      </c>
      <c r="H107" s="1" t="n">
        <v>-47.1972086</v>
      </c>
      <c r="I107" s="1" t="n">
        <v>-22.7419147</v>
      </c>
      <c r="J107" s="1" t="n">
        <v>-47.3088468</v>
      </c>
      <c r="K107" s="1" t="n">
        <v>25</v>
      </c>
      <c r="L107" s="1" t="n">
        <v>31.5</v>
      </c>
      <c r="M107" s="1" t="s">
        <v>17</v>
      </c>
    </row>
    <row r="108" customFormat="false" ht="15" hidden="true" customHeight="false" outlineLevel="0" collapsed="false">
      <c r="A108" s="1" t="n">
        <v>0</v>
      </c>
      <c r="B108" s="1" t="n">
        <v>0</v>
      </c>
      <c r="C108" s="1" t="s">
        <v>13</v>
      </c>
      <c r="D108" s="1" t="s">
        <v>46</v>
      </c>
      <c r="E108" s="1" t="s">
        <v>190</v>
      </c>
      <c r="F108" s="1" t="s">
        <v>16</v>
      </c>
      <c r="G108" s="1" t="n">
        <v>-20.4223677</v>
      </c>
      <c r="H108" s="1" t="n">
        <v>-49.7681942</v>
      </c>
      <c r="I108" s="1" t="n">
        <v>-20.4262217</v>
      </c>
      <c r="J108" s="1" t="n">
        <v>-49.9787386</v>
      </c>
      <c r="K108" s="1" t="n">
        <v>31.1</v>
      </c>
      <c r="L108" s="1" t="n">
        <v>26.8</v>
      </c>
      <c r="M108" s="1" t="s">
        <v>17</v>
      </c>
    </row>
    <row r="109" customFormat="false" ht="15" hidden="true" customHeight="false" outlineLevel="0" collapsed="false">
      <c r="A109" s="1" t="n">
        <v>0</v>
      </c>
      <c r="B109" s="1" t="n">
        <v>0</v>
      </c>
      <c r="C109" s="1" t="s">
        <v>68</v>
      </c>
      <c r="D109" s="1" t="s">
        <v>68</v>
      </c>
      <c r="E109" s="1" t="s">
        <v>191</v>
      </c>
      <c r="F109" s="1" t="s">
        <v>16</v>
      </c>
      <c r="G109" s="1" t="n">
        <v>-20.403569</v>
      </c>
      <c r="H109" s="1" t="n">
        <v>-47.420915</v>
      </c>
      <c r="I109" s="1" t="n">
        <v>-20.5377516772009</v>
      </c>
      <c r="J109" s="1" t="n">
        <v>-47.3988262744382</v>
      </c>
      <c r="K109" s="1" t="n">
        <v>17.9</v>
      </c>
      <c r="L109" s="1" t="n">
        <v>18.6</v>
      </c>
      <c r="M109" s="1" t="s">
        <v>17</v>
      </c>
    </row>
    <row r="110" customFormat="false" ht="15" hidden="true" customHeight="false" outlineLevel="0" collapsed="false">
      <c r="A110" s="1" t="n">
        <v>0</v>
      </c>
      <c r="B110" s="1" t="n">
        <v>0</v>
      </c>
      <c r="C110" s="1" t="s">
        <v>112</v>
      </c>
      <c r="D110" s="1" t="s">
        <v>112</v>
      </c>
      <c r="E110" s="1" t="s">
        <v>192</v>
      </c>
      <c r="F110" s="1" t="s">
        <v>16</v>
      </c>
      <c r="G110" s="1" t="n">
        <v>-22.7434438</v>
      </c>
      <c r="H110" s="1" t="n">
        <v>-50.7911037</v>
      </c>
      <c r="I110" s="1" t="n">
        <v>-22.6475712</v>
      </c>
      <c r="J110" s="1" t="n">
        <v>-50.4055842</v>
      </c>
      <c r="K110" s="1" t="n">
        <v>47.6</v>
      </c>
      <c r="L110" s="1" t="n">
        <v>42.1</v>
      </c>
      <c r="M110" s="1" t="s">
        <v>17</v>
      </c>
    </row>
    <row r="111" customFormat="false" ht="15" hidden="true" customHeight="false" outlineLevel="0" collapsed="false">
      <c r="A111" s="1" t="n">
        <v>0</v>
      </c>
      <c r="B111" s="1" t="n">
        <v>0</v>
      </c>
      <c r="C111" s="1" t="s">
        <v>54</v>
      </c>
      <c r="D111" s="1" t="s">
        <v>193</v>
      </c>
      <c r="E111" s="1" t="s">
        <v>194</v>
      </c>
      <c r="F111" s="1" t="s">
        <v>16</v>
      </c>
      <c r="G111" s="1" t="n">
        <v>-21.8797111</v>
      </c>
      <c r="H111" s="1" t="n">
        <v>-47.6507427</v>
      </c>
      <c r="I111" s="1" t="n">
        <v>-21.8541327621355</v>
      </c>
      <c r="J111" s="1" t="n">
        <v>-47.4814999718037</v>
      </c>
      <c r="K111" s="1" t="n">
        <v>22.1</v>
      </c>
      <c r="L111" s="1" t="n">
        <v>26.9</v>
      </c>
      <c r="M111" s="1" t="s">
        <v>17</v>
      </c>
    </row>
    <row r="112" customFormat="false" ht="15" hidden="true" customHeight="false" outlineLevel="0" collapsed="false">
      <c r="A112" s="1" t="n">
        <v>0</v>
      </c>
      <c r="B112" s="1" t="n">
        <v>0</v>
      </c>
      <c r="C112" s="1" t="s">
        <v>195</v>
      </c>
      <c r="D112" s="1" t="s">
        <v>196</v>
      </c>
      <c r="E112" s="1" t="s">
        <v>197</v>
      </c>
      <c r="F112" s="1" t="s">
        <v>16</v>
      </c>
      <c r="G112" s="1" t="n">
        <v>-23.6866428</v>
      </c>
      <c r="H112" s="1" t="n">
        <v>-46.6246935</v>
      </c>
      <c r="I112" s="1" t="n">
        <v>-23.7130909</v>
      </c>
      <c r="J112" s="1" t="n">
        <v>-46.5577531</v>
      </c>
      <c r="K112" s="1" t="n">
        <v>13.4</v>
      </c>
      <c r="L112" s="1" t="n">
        <v>16.2</v>
      </c>
      <c r="M112" s="1" t="s">
        <v>17</v>
      </c>
    </row>
    <row r="113" customFormat="false" ht="15" hidden="true" customHeight="false" outlineLevel="0" collapsed="false">
      <c r="A113" s="1" t="n">
        <v>0</v>
      </c>
      <c r="B113" s="1" t="n">
        <v>0</v>
      </c>
      <c r="C113" s="1" t="s">
        <v>64</v>
      </c>
      <c r="D113" s="1" t="s">
        <v>64</v>
      </c>
      <c r="E113" s="1" t="s">
        <v>198</v>
      </c>
      <c r="F113" s="1" t="s">
        <v>16</v>
      </c>
      <c r="G113" s="1" t="n">
        <v>-20.4664067</v>
      </c>
      <c r="H113" s="1" t="n">
        <v>-50.606276</v>
      </c>
      <c r="I113" s="1" t="n">
        <v>-20.2667765</v>
      </c>
      <c r="J113" s="1" t="n">
        <v>-50.5425068</v>
      </c>
      <c r="K113" s="1" t="n">
        <v>25.1</v>
      </c>
      <c r="L113" s="1" t="n">
        <v>36.8</v>
      </c>
      <c r="M113" s="1" t="s">
        <v>17</v>
      </c>
    </row>
    <row r="114" customFormat="false" ht="15" hidden="true" customHeight="false" outlineLevel="0" collapsed="false">
      <c r="A114" s="1" t="n">
        <v>0</v>
      </c>
      <c r="B114" s="1" t="n">
        <v>0</v>
      </c>
      <c r="C114" s="1" t="s">
        <v>21</v>
      </c>
      <c r="D114" s="1" t="s">
        <v>199</v>
      </c>
      <c r="E114" s="1" t="s">
        <v>200</v>
      </c>
      <c r="F114" s="1" t="s">
        <v>16</v>
      </c>
      <c r="G114" s="1" t="n">
        <v>-21.6604584</v>
      </c>
      <c r="H114" s="1" t="n">
        <v>-46.7371151</v>
      </c>
      <c r="I114" s="1" t="n">
        <v>-21.5331168</v>
      </c>
      <c r="J114" s="1" t="n">
        <v>-46.6452392</v>
      </c>
      <c r="K114" s="1" t="n">
        <v>23.7</v>
      </c>
      <c r="L114" s="1" t="n">
        <v>24.4</v>
      </c>
      <c r="M114" s="1" t="s">
        <v>17</v>
      </c>
    </row>
    <row r="115" customFormat="false" ht="15" hidden="true" customHeight="false" outlineLevel="0" collapsed="false">
      <c r="A115" s="1" t="n">
        <v>0</v>
      </c>
      <c r="B115" s="1" t="n">
        <v>0</v>
      </c>
      <c r="C115" s="1" t="s">
        <v>54</v>
      </c>
      <c r="D115" s="1" t="s">
        <v>201</v>
      </c>
      <c r="E115" s="1" t="s">
        <v>202</v>
      </c>
      <c r="F115" s="1" t="s">
        <v>16</v>
      </c>
      <c r="G115" s="1" t="n">
        <v>-21.5180904</v>
      </c>
      <c r="H115" s="1" t="n">
        <v>-48.3938897</v>
      </c>
      <c r="I115" s="1" t="n">
        <v>-21.6102194</v>
      </c>
      <c r="J115" s="1" t="n">
        <v>-48.3564817</v>
      </c>
      <c r="K115" s="1" t="n">
        <v>13</v>
      </c>
      <c r="L115" s="1" t="n">
        <v>15.6</v>
      </c>
      <c r="M115" s="1" t="s">
        <v>17</v>
      </c>
    </row>
    <row r="116" customFormat="false" ht="15" hidden="true" customHeight="false" outlineLevel="0" collapsed="false">
      <c r="A116" s="1" t="n">
        <v>0</v>
      </c>
      <c r="B116" s="1" t="n">
        <v>0</v>
      </c>
      <c r="C116" s="1" t="s">
        <v>30</v>
      </c>
      <c r="D116" s="1" t="s">
        <v>97</v>
      </c>
      <c r="E116" s="1" t="s">
        <v>203</v>
      </c>
      <c r="F116" s="1" t="s">
        <v>16</v>
      </c>
      <c r="G116" s="1" t="n">
        <v>-22.3697554</v>
      </c>
      <c r="H116" s="1" t="n">
        <v>-48.3845315</v>
      </c>
      <c r="I116" s="1" t="n">
        <v>-22.293224</v>
      </c>
      <c r="J116" s="1" t="n">
        <v>-48.5608001</v>
      </c>
      <c r="K116" s="1" t="n">
        <v>30.1</v>
      </c>
      <c r="L116" s="1" t="n">
        <v>28</v>
      </c>
      <c r="M116" s="1" t="s">
        <v>17</v>
      </c>
    </row>
    <row r="117" customFormat="false" ht="15" hidden="true" customHeight="false" outlineLevel="0" collapsed="false">
      <c r="A117" s="1" t="n">
        <v>0</v>
      </c>
      <c r="B117" s="1" t="n">
        <v>0</v>
      </c>
      <c r="C117" s="1" t="s">
        <v>64</v>
      </c>
      <c r="D117" s="1" t="s">
        <v>64</v>
      </c>
      <c r="E117" s="1" t="s">
        <v>204</v>
      </c>
      <c r="F117" s="1" t="s">
        <v>16</v>
      </c>
      <c r="G117" s="1" t="n">
        <v>-20.1230736</v>
      </c>
      <c r="H117" s="1" t="n">
        <v>-50.513261</v>
      </c>
      <c r="I117" s="1" t="n">
        <v>-20.2667765</v>
      </c>
      <c r="J117" s="1" t="n">
        <v>-50.5425068</v>
      </c>
      <c r="K117" s="1" t="n">
        <v>25.8</v>
      </c>
      <c r="L117" s="1" t="n">
        <v>22.6</v>
      </c>
      <c r="M117" s="1" t="s">
        <v>17</v>
      </c>
    </row>
    <row r="118" customFormat="false" ht="15" hidden="true" customHeight="false" outlineLevel="0" collapsed="false">
      <c r="A118" s="1" t="n">
        <v>0</v>
      </c>
      <c r="B118" s="1" t="n">
        <v>0</v>
      </c>
      <c r="C118" s="1" t="s">
        <v>54</v>
      </c>
      <c r="D118" s="1" t="s">
        <v>205</v>
      </c>
      <c r="E118" s="1" t="s">
        <v>206</v>
      </c>
      <c r="F118" s="1" t="s">
        <v>16</v>
      </c>
      <c r="G118" s="1" t="n">
        <v>-22.116287</v>
      </c>
      <c r="H118" s="1" t="n">
        <v>-48.3174349</v>
      </c>
      <c r="I118" s="1" t="n">
        <v>-22.0112277</v>
      </c>
      <c r="J118" s="1" t="n">
        <v>-47.9010162</v>
      </c>
      <c r="K118" s="1" t="n">
        <v>50.2</v>
      </c>
      <c r="L118" s="1" t="n">
        <v>54.1</v>
      </c>
      <c r="M118" s="1" t="s">
        <v>17</v>
      </c>
    </row>
    <row r="119" customFormat="false" ht="15" hidden="true" customHeight="false" outlineLevel="0" collapsed="false">
      <c r="A119" s="1" t="n">
        <v>0</v>
      </c>
      <c r="B119" s="1" t="n">
        <v>0</v>
      </c>
      <c r="C119" s="1" t="s">
        <v>103</v>
      </c>
      <c r="D119" s="1" t="s">
        <v>103</v>
      </c>
      <c r="E119" s="1" t="s">
        <v>207</v>
      </c>
      <c r="F119" s="1" t="s">
        <v>16</v>
      </c>
      <c r="G119" s="1" t="n">
        <v>-21.2391417</v>
      </c>
      <c r="H119" s="1" t="n">
        <v>-47.9747665</v>
      </c>
      <c r="I119" s="1" t="n">
        <v>-21.1705705</v>
      </c>
      <c r="J119" s="1" t="n">
        <v>-47.8495501</v>
      </c>
      <c r="K119" s="1" t="n">
        <v>18.8</v>
      </c>
      <c r="L119" s="1" t="n">
        <v>20.4</v>
      </c>
      <c r="M119" s="1" t="s">
        <v>17</v>
      </c>
    </row>
    <row r="120" customFormat="false" ht="15" hidden="false" customHeight="false" outlineLevel="0" collapsed="false">
      <c r="A120" s="1" t="n">
        <v>0</v>
      </c>
      <c r="B120" s="1" t="n">
        <v>1</v>
      </c>
      <c r="C120" s="1" t="s">
        <v>49</v>
      </c>
      <c r="D120" s="1" t="s">
        <v>49</v>
      </c>
      <c r="E120" s="1" t="s">
        <v>208</v>
      </c>
      <c r="F120" s="1" t="s">
        <v>51</v>
      </c>
      <c r="G120" s="1" t="n">
        <v>-22.4325855</v>
      </c>
      <c r="H120" s="1" t="n">
        <v>-50.2037693</v>
      </c>
      <c r="I120" s="1" t="n">
        <v>-22.227114</v>
      </c>
      <c r="J120" s="1" t="n">
        <v>-49.9359818</v>
      </c>
      <c r="K120" s="1" t="n">
        <v>41.9</v>
      </c>
      <c r="L120" s="1" t="n">
        <v>38.9</v>
      </c>
      <c r="M120" s="1" t="s">
        <v>17</v>
      </c>
    </row>
    <row r="121" customFormat="false" ht="15" hidden="false" customHeight="false" outlineLevel="0" collapsed="false">
      <c r="A121" s="1" t="n">
        <v>0</v>
      </c>
      <c r="B121" s="1" t="n">
        <v>1</v>
      </c>
      <c r="C121" s="1" t="s">
        <v>49</v>
      </c>
      <c r="D121" s="1" t="s">
        <v>49</v>
      </c>
      <c r="E121" s="1" t="s">
        <v>208</v>
      </c>
      <c r="F121" s="1" t="s">
        <v>52</v>
      </c>
      <c r="G121" s="1" t="n">
        <v>-22.4325855</v>
      </c>
      <c r="H121" s="1" t="n">
        <v>-50.2037693</v>
      </c>
      <c r="I121" s="1" t="n">
        <v>-22.224027</v>
      </c>
      <c r="J121" s="1" t="n">
        <v>-49.9472085</v>
      </c>
      <c r="K121" s="1" t="n">
        <v>41.1</v>
      </c>
      <c r="L121" s="1" t="n">
        <v>38.5</v>
      </c>
      <c r="M121" s="1" t="s">
        <v>17</v>
      </c>
    </row>
    <row r="122" customFormat="false" ht="15" hidden="true" customHeight="false" outlineLevel="0" collapsed="false">
      <c r="A122" s="1" t="n">
        <v>0</v>
      </c>
      <c r="B122" s="1" t="n">
        <v>0</v>
      </c>
      <c r="C122" s="1" t="s">
        <v>27</v>
      </c>
      <c r="D122" s="1" t="s">
        <v>209</v>
      </c>
      <c r="E122" s="1" t="s">
        <v>210</v>
      </c>
      <c r="F122" s="1" t="s">
        <v>16</v>
      </c>
      <c r="G122" s="1" t="n">
        <v>-23.0416538</v>
      </c>
      <c r="H122" s="1" t="n">
        <v>-47.3718002</v>
      </c>
      <c r="I122" s="1" t="n">
        <v>-22.9985529583081</v>
      </c>
      <c r="J122" s="1" t="n">
        <v>-47.4929512050703</v>
      </c>
      <c r="K122" s="1" t="n">
        <v>19.5</v>
      </c>
      <c r="L122" s="1" t="n">
        <v>18.7</v>
      </c>
      <c r="M122" s="1" t="s">
        <v>17</v>
      </c>
    </row>
    <row r="123" customFormat="false" ht="15" hidden="true" customHeight="false" outlineLevel="0" collapsed="false">
      <c r="A123" s="1" t="n">
        <v>0</v>
      </c>
      <c r="B123" s="1" t="n">
        <v>0</v>
      </c>
      <c r="C123" s="1" t="s">
        <v>13</v>
      </c>
      <c r="D123" s="1" t="s">
        <v>80</v>
      </c>
      <c r="E123" s="1" t="s">
        <v>211</v>
      </c>
      <c r="F123" s="1" t="s">
        <v>16</v>
      </c>
      <c r="G123" s="1" t="n">
        <v>-21.1673392</v>
      </c>
      <c r="H123" s="1" t="n">
        <v>-49.1111015</v>
      </c>
      <c r="I123" s="1" t="n">
        <v>-21.1407509</v>
      </c>
      <c r="J123" s="1" t="n">
        <v>-48.9754937</v>
      </c>
      <c r="K123" s="1" t="n">
        <v>17.1</v>
      </c>
      <c r="L123" s="1" t="n">
        <v>19.5</v>
      </c>
      <c r="M123" s="1" t="s">
        <v>17</v>
      </c>
    </row>
    <row r="124" customFormat="false" ht="15" hidden="true" customHeight="false" outlineLevel="0" collapsed="false">
      <c r="A124" s="1" t="n">
        <v>0</v>
      </c>
      <c r="B124" s="1" t="n">
        <v>0</v>
      </c>
      <c r="C124" s="1" t="s">
        <v>13</v>
      </c>
      <c r="D124" s="1" t="s">
        <v>212</v>
      </c>
      <c r="E124" s="1" t="s">
        <v>213</v>
      </c>
      <c r="F124" s="1" t="s">
        <v>16</v>
      </c>
      <c r="G124" s="1" t="n">
        <v>-20.9819513</v>
      </c>
      <c r="H124" s="1" t="n">
        <v>-48.837455</v>
      </c>
      <c r="I124" s="1" t="n">
        <v>-20.9632775</v>
      </c>
      <c r="J124" s="1" t="n">
        <v>-49.0312888</v>
      </c>
      <c r="K124" s="1" t="n">
        <v>22.3</v>
      </c>
      <c r="L124" s="1" t="n">
        <v>23.3</v>
      </c>
      <c r="M124" s="1" t="s">
        <v>17</v>
      </c>
    </row>
    <row r="125" customFormat="false" ht="15" hidden="true" customHeight="false" outlineLevel="0" collapsed="false">
      <c r="A125" s="1" t="n">
        <v>0</v>
      </c>
      <c r="B125" s="1" t="n">
        <v>1</v>
      </c>
      <c r="C125" s="1" t="s">
        <v>18</v>
      </c>
      <c r="D125" s="1" t="s">
        <v>18</v>
      </c>
      <c r="E125" s="1" t="s">
        <v>214</v>
      </c>
      <c r="F125" s="1" t="s">
        <v>16</v>
      </c>
      <c r="G125" s="1" t="n">
        <v>-21.831436</v>
      </c>
      <c r="H125" s="1" t="n">
        <v>-51.483168</v>
      </c>
      <c r="I125" s="1" t="n">
        <v>-22.1321613052015</v>
      </c>
      <c r="J125" s="1" t="n">
        <v>-51.4073413591303</v>
      </c>
      <c r="K125" s="1" t="n">
        <v>48.5</v>
      </c>
      <c r="L125" s="1" t="n">
        <v>48.5</v>
      </c>
      <c r="M125" s="1" t="s">
        <v>17</v>
      </c>
    </row>
    <row r="126" customFormat="false" ht="15" hidden="true" customHeight="false" outlineLevel="0" collapsed="false">
      <c r="A126" s="1" t="n">
        <v>0</v>
      </c>
      <c r="B126" s="1" t="n">
        <v>0</v>
      </c>
      <c r="C126" s="1" t="s">
        <v>27</v>
      </c>
      <c r="D126" s="1" t="s">
        <v>181</v>
      </c>
      <c r="E126" s="1" t="s">
        <v>215</v>
      </c>
      <c r="F126" s="1" t="s">
        <v>16</v>
      </c>
      <c r="G126" s="1" t="n">
        <v>-22.4896659</v>
      </c>
      <c r="H126" s="1" t="n">
        <v>-47.2119005</v>
      </c>
      <c r="I126" s="1" t="n">
        <v>-22.579273</v>
      </c>
      <c r="J126" s="1" t="n">
        <v>-47.4005557</v>
      </c>
      <c r="K126" s="1" t="n">
        <v>27.6</v>
      </c>
      <c r="L126" s="1" t="n">
        <v>25.2</v>
      </c>
      <c r="M126" s="1" t="s">
        <v>17</v>
      </c>
    </row>
    <row r="127" customFormat="false" ht="15" hidden="true" customHeight="false" outlineLevel="0" collapsed="false">
      <c r="A127" s="1" t="n">
        <v>0</v>
      </c>
      <c r="B127" s="1" t="n">
        <v>0</v>
      </c>
      <c r="C127" s="1" t="s">
        <v>112</v>
      </c>
      <c r="D127" s="1" t="s">
        <v>113</v>
      </c>
      <c r="E127" s="1" t="s">
        <v>216</v>
      </c>
      <c r="F127" s="1" t="s">
        <v>16</v>
      </c>
      <c r="G127" s="1" t="n">
        <v>-22.6939723</v>
      </c>
      <c r="H127" s="1" t="n">
        <v>-49.4295067</v>
      </c>
      <c r="I127" s="1" t="n">
        <v>-22.901501866441</v>
      </c>
      <c r="J127" s="1" t="n">
        <v>-49.6271577260513</v>
      </c>
      <c r="K127" s="1" t="n">
        <v>31.3</v>
      </c>
      <c r="L127" s="1" t="n">
        <v>25.8</v>
      </c>
      <c r="M127" s="1" t="s">
        <v>17</v>
      </c>
    </row>
    <row r="128" customFormat="false" ht="15" hidden="true" customHeight="false" outlineLevel="0" collapsed="false">
      <c r="A128" s="1" t="n">
        <v>0</v>
      </c>
      <c r="B128" s="1" t="n">
        <v>0</v>
      </c>
      <c r="C128" s="1" t="s">
        <v>21</v>
      </c>
      <c r="D128" s="1" t="s">
        <v>217</v>
      </c>
      <c r="E128" s="1" t="s">
        <v>218</v>
      </c>
      <c r="F128" s="1" t="s">
        <v>16</v>
      </c>
      <c r="G128" s="1" t="n">
        <v>-22.2742719</v>
      </c>
      <c r="H128" s="1" t="n">
        <v>-46.9523302</v>
      </c>
      <c r="I128" s="1" t="n">
        <v>-22.3646902</v>
      </c>
      <c r="J128" s="1" t="n">
        <v>-46.9430329</v>
      </c>
      <c r="K128" s="1" t="n">
        <v>14.7</v>
      </c>
      <c r="L128" s="1" t="n">
        <v>14.7</v>
      </c>
      <c r="M128" s="1" t="s">
        <v>17</v>
      </c>
    </row>
    <row r="129" customFormat="false" ht="15" hidden="true" customHeight="false" outlineLevel="0" collapsed="false">
      <c r="A129" s="1" t="n">
        <v>0</v>
      </c>
      <c r="B129" s="1" t="n">
        <v>0</v>
      </c>
      <c r="C129" s="1" t="s">
        <v>64</v>
      </c>
      <c r="D129" s="1" t="s">
        <v>219</v>
      </c>
      <c r="E129" s="1" t="s">
        <v>220</v>
      </c>
      <c r="F129" s="1" t="s">
        <v>16</v>
      </c>
      <c r="G129" s="1" t="n">
        <v>-20.2860692</v>
      </c>
      <c r="H129" s="1" t="n">
        <v>-50.3986216</v>
      </c>
      <c r="I129" s="1" t="n">
        <v>-20.2956731</v>
      </c>
      <c r="J129" s="1" t="n">
        <v>-50.2471189</v>
      </c>
      <c r="K129" s="1" t="n">
        <v>20.2</v>
      </c>
      <c r="L129" s="1" t="n">
        <v>18.6</v>
      </c>
      <c r="M129" s="1" t="s">
        <v>17</v>
      </c>
    </row>
    <row r="130" customFormat="false" ht="15" hidden="true" customHeight="false" outlineLevel="0" collapsed="false">
      <c r="A130" s="1" t="n">
        <v>0</v>
      </c>
      <c r="B130" s="1" t="n">
        <v>0</v>
      </c>
      <c r="C130" s="1" t="s">
        <v>18</v>
      </c>
      <c r="D130" s="1" t="s">
        <v>221</v>
      </c>
      <c r="E130" s="1" t="s">
        <v>222</v>
      </c>
      <c r="F130" s="1" t="s">
        <v>16</v>
      </c>
      <c r="G130" s="1" t="n">
        <v>-22.4886301</v>
      </c>
      <c r="H130" s="1" t="n">
        <v>-51.6606857</v>
      </c>
      <c r="I130" s="1" t="n">
        <v>-22.2758152</v>
      </c>
      <c r="J130" s="1" t="n">
        <v>-51.4940169</v>
      </c>
      <c r="K130" s="1" t="n">
        <v>31.7</v>
      </c>
      <c r="L130" s="1" t="n">
        <v>29.6</v>
      </c>
      <c r="M130" s="1" t="s">
        <v>17</v>
      </c>
    </row>
    <row r="131" customFormat="false" ht="15" hidden="true" customHeight="false" outlineLevel="0" collapsed="false">
      <c r="A131" s="1" t="n">
        <v>0</v>
      </c>
      <c r="B131" s="1" t="n">
        <v>0</v>
      </c>
      <c r="C131" s="1" t="s">
        <v>13</v>
      </c>
      <c r="D131" s="1" t="s">
        <v>80</v>
      </c>
      <c r="E131" s="1" t="s">
        <v>223</v>
      </c>
      <c r="F131" s="1" t="s">
        <v>16</v>
      </c>
      <c r="G131" s="1" t="n">
        <v>-21.266061</v>
      </c>
      <c r="H131" s="1" t="n">
        <v>-48.687384</v>
      </c>
      <c r="I131" s="1" t="n">
        <v>-21.1407509</v>
      </c>
      <c r="J131" s="1" t="n">
        <v>-48.9754937</v>
      </c>
      <c r="K131" s="1" t="n">
        <v>43.3</v>
      </c>
      <c r="L131" s="1" t="n">
        <v>41.9</v>
      </c>
      <c r="M131" s="1" t="s">
        <v>17</v>
      </c>
    </row>
    <row r="132" customFormat="false" ht="15" hidden="false" customHeight="false" outlineLevel="0" collapsed="false">
      <c r="A132" s="1" t="n">
        <v>0</v>
      </c>
      <c r="B132" s="1" t="n">
        <v>1</v>
      </c>
      <c r="C132" s="1" t="s">
        <v>49</v>
      </c>
      <c r="D132" s="1" t="s">
        <v>49</v>
      </c>
      <c r="E132" s="1" t="s">
        <v>224</v>
      </c>
      <c r="F132" s="1" t="s">
        <v>52</v>
      </c>
      <c r="G132" s="1" t="n">
        <v>-22.3595388</v>
      </c>
      <c r="H132" s="1" t="n">
        <v>-49.5209504</v>
      </c>
      <c r="I132" s="1" t="n">
        <v>-22.224027</v>
      </c>
      <c r="J132" s="1" t="n">
        <v>-49.9472085</v>
      </c>
      <c r="K132" s="1" t="n">
        <v>60.3</v>
      </c>
      <c r="L132" s="1" t="n">
        <v>55</v>
      </c>
      <c r="M132" s="1" t="s">
        <v>17</v>
      </c>
    </row>
    <row r="133" customFormat="false" ht="15" hidden="false" customHeight="false" outlineLevel="0" collapsed="false">
      <c r="A133" s="1" t="n">
        <v>0</v>
      </c>
      <c r="B133" s="1" t="n">
        <v>1</v>
      </c>
      <c r="C133" s="1" t="s">
        <v>49</v>
      </c>
      <c r="D133" s="1" t="s">
        <v>49</v>
      </c>
      <c r="E133" s="1" t="s">
        <v>224</v>
      </c>
      <c r="F133" s="1" t="s">
        <v>51</v>
      </c>
      <c r="G133" s="1" t="n">
        <v>-22.3595388</v>
      </c>
      <c r="H133" s="1" t="n">
        <v>-49.5209504</v>
      </c>
      <c r="I133" s="1" t="n">
        <v>-22.227114</v>
      </c>
      <c r="J133" s="1" t="n">
        <v>-49.9359818</v>
      </c>
      <c r="K133" s="1" t="n">
        <v>58.4</v>
      </c>
      <c r="L133" s="1" t="n">
        <v>53.4</v>
      </c>
      <c r="M133" s="1" t="s">
        <v>17</v>
      </c>
    </row>
    <row r="134" customFormat="false" ht="15" hidden="true" customHeight="false" outlineLevel="0" collapsed="false">
      <c r="A134" s="1" t="n">
        <v>0</v>
      </c>
      <c r="B134" s="1" t="n">
        <v>0</v>
      </c>
      <c r="C134" s="1" t="s">
        <v>153</v>
      </c>
      <c r="D134" s="1" t="s">
        <v>225</v>
      </c>
      <c r="E134" s="1" t="s">
        <v>226</v>
      </c>
      <c r="F134" s="1" t="s">
        <v>16</v>
      </c>
      <c r="G134" s="1" t="n">
        <v>-21.6760063</v>
      </c>
      <c r="H134" s="1" t="n">
        <v>-51.3804532</v>
      </c>
      <c r="I134" s="1" t="n">
        <v>-21.5153166</v>
      </c>
      <c r="J134" s="1" t="n">
        <v>-51.4390375</v>
      </c>
      <c r="K134" s="1" t="n">
        <v>29.9</v>
      </c>
      <c r="L134" s="1" t="n">
        <v>29.7</v>
      </c>
      <c r="M134" s="1" t="s">
        <v>17</v>
      </c>
    </row>
    <row r="135" customFormat="false" ht="15" hidden="true" customHeight="false" outlineLevel="0" collapsed="false">
      <c r="A135" s="1" t="n">
        <v>0</v>
      </c>
      <c r="B135" s="1" t="n">
        <v>0</v>
      </c>
      <c r="C135" s="1" t="s">
        <v>13</v>
      </c>
      <c r="D135" s="1" t="s">
        <v>46</v>
      </c>
      <c r="E135" s="1" t="s">
        <v>227</v>
      </c>
      <c r="F135" s="1" t="s">
        <v>16</v>
      </c>
      <c r="G135" s="1" t="n">
        <v>-20.6767063</v>
      </c>
      <c r="H135" s="1" t="n">
        <v>-50.1455638</v>
      </c>
      <c r="I135" s="1" t="n">
        <v>-20.4262217</v>
      </c>
      <c r="J135" s="1" t="n">
        <v>-49.9787386</v>
      </c>
      <c r="K135" s="1" t="n">
        <v>42.4</v>
      </c>
      <c r="L135" s="1" t="n">
        <v>38.8</v>
      </c>
      <c r="M135" s="1" t="s">
        <v>17</v>
      </c>
    </row>
    <row r="136" customFormat="false" ht="15" hidden="true" customHeight="false" outlineLevel="0" collapsed="false">
      <c r="A136" s="1" t="n">
        <v>0</v>
      </c>
      <c r="B136" s="1" t="n">
        <v>0</v>
      </c>
      <c r="C136" s="1" t="s">
        <v>49</v>
      </c>
      <c r="D136" s="1" t="s">
        <v>228</v>
      </c>
      <c r="E136" s="1" t="s">
        <v>229</v>
      </c>
      <c r="F136" s="1" t="s">
        <v>16</v>
      </c>
      <c r="G136" s="1" t="n">
        <v>-21.614061</v>
      </c>
      <c r="H136" s="1" t="n">
        <v>-51.1729548</v>
      </c>
      <c r="I136" s="1" t="n">
        <v>-21.6926132757716</v>
      </c>
      <c r="J136" s="1" t="n">
        <v>-51.0706469456515</v>
      </c>
      <c r="K136" s="1" t="n">
        <v>16.6</v>
      </c>
      <c r="L136" s="1" t="n">
        <v>16.1</v>
      </c>
      <c r="M136" s="1" t="s">
        <v>17</v>
      </c>
    </row>
    <row r="137" customFormat="false" ht="15" hidden="true" customHeight="false" outlineLevel="0" collapsed="false">
      <c r="A137" s="1" t="n">
        <v>0</v>
      </c>
      <c r="B137" s="1" t="n">
        <v>0</v>
      </c>
      <c r="C137" s="1" t="s">
        <v>112</v>
      </c>
      <c r="D137" s="1" t="s">
        <v>112</v>
      </c>
      <c r="E137" s="1" t="s">
        <v>230</v>
      </c>
      <c r="F137" s="1" t="s">
        <v>16</v>
      </c>
      <c r="G137" s="1" t="n">
        <v>-22.9016004</v>
      </c>
      <c r="H137" s="1" t="n">
        <v>-50.7268005</v>
      </c>
      <c r="I137" s="1" t="n">
        <v>-22.6475712</v>
      </c>
      <c r="J137" s="1" t="n">
        <v>-50.4055842</v>
      </c>
      <c r="K137" s="1" t="n">
        <v>49.6</v>
      </c>
      <c r="L137" s="1" t="n">
        <v>40.1</v>
      </c>
      <c r="M137" s="1" t="s">
        <v>17</v>
      </c>
    </row>
    <row r="138" customFormat="false" ht="15" hidden="true" customHeight="false" outlineLevel="0" collapsed="false">
      <c r="A138" s="1" t="n">
        <v>0</v>
      </c>
      <c r="B138" s="1" t="n">
        <v>0</v>
      </c>
      <c r="C138" s="1" t="s">
        <v>42</v>
      </c>
      <c r="D138" s="1" t="s">
        <v>115</v>
      </c>
      <c r="E138" s="1" t="s">
        <v>231</v>
      </c>
      <c r="F138" s="1" t="s">
        <v>16</v>
      </c>
      <c r="G138" s="1" t="n">
        <v>-21.5299436</v>
      </c>
      <c r="H138" s="1" t="n">
        <v>-50.5533059</v>
      </c>
      <c r="I138" s="1" t="n">
        <v>-21.5566976258936</v>
      </c>
      <c r="J138" s="1" t="n">
        <v>-50.4465331675452</v>
      </c>
      <c r="K138" s="1" t="n">
        <v>13.2</v>
      </c>
      <c r="L138" s="1" t="n">
        <v>19.6</v>
      </c>
      <c r="M138" s="1" t="s">
        <v>17</v>
      </c>
    </row>
    <row r="139" customFormat="false" ht="15" hidden="false" customHeight="false" outlineLevel="0" collapsed="false">
      <c r="A139" s="1" t="n">
        <v>0</v>
      </c>
      <c r="B139" s="1" t="n">
        <v>1</v>
      </c>
      <c r="C139" s="1" t="s">
        <v>49</v>
      </c>
      <c r="D139" s="1" t="s">
        <v>49</v>
      </c>
      <c r="E139" s="1" t="s">
        <v>232</v>
      </c>
      <c r="F139" s="1" t="s">
        <v>52</v>
      </c>
      <c r="G139" s="1" t="n">
        <v>-22.2936976</v>
      </c>
      <c r="H139" s="1" t="n">
        <v>-49.5516228</v>
      </c>
      <c r="I139" s="1" t="n">
        <v>-22.224027</v>
      </c>
      <c r="J139" s="1" t="n">
        <v>-49.9472085</v>
      </c>
      <c r="K139" s="1" t="n">
        <v>52.2</v>
      </c>
      <c r="L139" s="1" t="n">
        <v>42.8</v>
      </c>
      <c r="M139" s="1" t="s">
        <v>17</v>
      </c>
    </row>
    <row r="140" customFormat="false" ht="15" hidden="false" customHeight="false" outlineLevel="0" collapsed="false">
      <c r="A140" s="1" t="n">
        <v>0</v>
      </c>
      <c r="B140" s="1" t="n">
        <v>1</v>
      </c>
      <c r="C140" s="1" t="s">
        <v>49</v>
      </c>
      <c r="D140" s="1" t="s">
        <v>49</v>
      </c>
      <c r="E140" s="1" t="s">
        <v>232</v>
      </c>
      <c r="F140" s="1" t="s">
        <v>51</v>
      </c>
      <c r="G140" s="1" t="n">
        <v>-22.2936976</v>
      </c>
      <c r="H140" s="1" t="n">
        <v>-49.5516228</v>
      </c>
      <c r="I140" s="1" t="n">
        <v>-22.227114</v>
      </c>
      <c r="J140" s="1" t="n">
        <v>-49.9359818</v>
      </c>
      <c r="K140" s="1" t="n">
        <v>50.3</v>
      </c>
      <c r="L140" s="1" t="n">
        <v>41.3</v>
      </c>
      <c r="M140" s="1" t="s">
        <v>17</v>
      </c>
    </row>
    <row r="141" customFormat="false" ht="15" hidden="false" customHeight="false" outlineLevel="0" collapsed="false">
      <c r="A141" s="1" t="n">
        <v>0</v>
      </c>
      <c r="B141" s="1" t="n">
        <v>1</v>
      </c>
      <c r="C141" s="1" t="s">
        <v>49</v>
      </c>
      <c r="D141" s="1" t="s">
        <v>49</v>
      </c>
      <c r="E141" s="1" t="s">
        <v>233</v>
      </c>
      <c r="F141" s="1" t="s">
        <v>52</v>
      </c>
      <c r="G141" s="1" t="n">
        <v>-22.2125766</v>
      </c>
      <c r="H141" s="1" t="n">
        <v>-49.6547994</v>
      </c>
      <c r="I141" s="1" t="n">
        <v>-22.224027</v>
      </c>
      <c r="J141" s="1" t="n">
        <v>-49.9472085</v>
      </c>
      <c r="K141" s="1" t="n">
        <v>33.4</v>
      </c>
      <c r="L141" s="1" t="n">
        <v>29.6</v>
      </c>
      <c r="M141" s="1" t="s">
        <v>17</v>
      </c>
    </row>
    <row r="142" customFormat="false" ht="15" hidden="false" customHeight="false" outlineLevel="0" collapsed="false">
      <c r="A142" s="1" t="n">
        <v>0</v>
      </c>
      <c r="B142" s="1" t="n">
        <v>1</v>
      </c>
      <c r="C142" s="1" t="s">
        <v>49</v>
      </c>
      <c r="D142" s="1" t="s">
        <v>49</v>
      </c>
      <c r="E142" s="1" t="s">
        <v>233</v>
      </c>
      <c r="F142" s="1" t="s">
        <v>51</v>
      </c>
      <c r="G142" s="1" t="n">
        <v>-22.2125766</v>
      </c>
      <c r="H142" s="1" t="n">
        <v>-49.6547994</v>
      </c>
      <c r="I142" s="1" t="n">
        <v>-22.227114</v>
      </c>
      <c r="J142" s="1" t="n">
        <v>-49.9359818</v>
      </c>
      <c r="K142" s="1" t="n">
        <v>31.5</v>
      </c>
      <c r="L142" s="1" t="n">
        <v>28</v>
      </c>
      <c r="M142" s="1" t="s">
        <v>17</v>
      </c>
    </row>
    <row r="143" customFormat="false" ht="15" hidden="true" customHeight="false" outlineLevel="0" collapsed="false">
      <c r="A143" s="1" t="n">
        <v>0</v>
      </c>
      <c r="B143" s="1" t="n">
        <v>0</v>
      </c>
      <c r="C143" s="1" t="s">
        <v>18</v>
      </c>
      <c r="D143" s="1" t="s">
        <v>19</v>
      </c>
      <c r="E143" s="1" t="s">
        <v>234</v>
      </c>
      <c r="F143" s="1" t="s">
        <v>16</v>
      </c>
      <c r="G143" s="1" t="n">
        <v>-22.6261552</v>
      </c>
      <c r="H143" s="1" t="n">
        <v>-50.904863</v>
      </c>
      <c r="I143" s="1" t="n">
        <v>-22.6601033</v>
      </c>
      <c r="J143" s="1" t="n">
        <v>-51.0790603</v>
      </c>
      <c r="K143" s="1" t="n">
        <v>27.6</v>
      </c>
      <c r="L143" s="1" t="n">
        <v>28.9</v>
      </c>
      <c r="M143" s="1" t="s">
        <v>17</v>
      </c>
    </row>
    <row r="144" customFormat="false" ht="15" hidden="true" customHeight="false" outlineLevel="0" collapsed="false">
      <c r="A144" s="1" t="n">
        <v>0</v>
      </c>
      <c r="B144" s="1" t="n">
        <v>0</v>
      </c>
      <c r="C144" s="1" t="s">
        <v>13</v>
      </c>
      <c r="D144" s="1" t="s">
        <v>46</v>
      </c>
      <c r="E144" s="1" t="s">
        <v>235</v>
      </c>
      <c r="F144" s="1" t="s">
        <v>16</v>
      </c>
      <c r="G144" s="1" t="n">
        <v>-20.7956829</v>
      </c>
      <c r="H144" s="1" t="n">
        <v>-50.1907615</v>
      </c>
      <c r="I144" s="1" t="n">
        <v>-20.4262217</v>
      </c>
      <c r="J144" s="1" t="n">
        <v>-49.9787386</v>
      </c>
      <c r="K144" s="1" t="n">
        <v>57.9</v>
      </c>
      <c r="L144" s="1" t="n">
        <v>56.5</v>
      </c>
      <c r="M144" s="1" t="s">
        <v>17</v>
      </c>
    </row>
    <row r="145" customFormat="false" ht="15" hidden="true" customHeight="false" outlineLevel="0" collapsed="false">
      <c r="A145" s="1" t="n">
        <v>0</v>
      </c>
      <c r="B145" s="1" t="n">
        <v>0</v>
      </c>
      <c r="C145" s="1" t="s">
        <v>54</v>
      </c>
      <c r="D145" s="1" t="s">
        <v>54</v>
      </c>
      <c r="E145" s="1" t="s">
        <v>236</v>
      </c>
      <c r="F145" s="1" t="s">
        <v>16</v>
      </c>
      <c r="G145" s="1" t="n">
        <v>-21.8377536</v>
      </c>
      <c r="H145" s="1" t="n">
        <v>-48.492853</v>
      </c>
      <c r="I145" s="1" t="n">
        <v>-21.8050425399424</v>
      </c>
      <c r="J145" s="1" t="n">
        <v>-48.1712910931619</v>
      </c>
      <c r="K145" s="1" t="n">
        <v>38.1</v>
      </c>
      <c r="L145" s="1" t="n">
        <v>37.2</v>
      </c>
      <c r="M145" s="1" t="s">
        <v>17</v>
      </c>
    </row>
    <row r="146" customFormat="false" ht="15" hidden="true" customHeight="false" outlineLevel="0" collapsed="false">
      <c r="A146" s="1" t="n">
        <v>0</v>
      </c>
      <c r="B146" s="1" t="n">
        <v>0</v>
      </c>
      <c r="C146" s="1" t="s">
        <v>30</v>
      </c>
      <c r="D146" s="1" t="s">
        <v>149</v>
      </c>
      <c r="E146" s="1" t="s">
        <v>237</v>
      </c>
      <c r="F146" s="1" t="s">
        <v>16</v>
      </c>
      <c r="G146" s="1" t="n">
        <v>-21.7988557</v>
      </c>
      <c r="H146" s="1" t="n">
        <v>-49.9288096</v>
      </c>
      <c r="I146" s="1" t="n">
        <v>-21.6721141</v>
      </c>
      <c r="J146" s="1" t="n">
        <v>-49.7555107</v>
      </c>
      <c r="K146" s="1" t="n">
        <v>23.7</v>
      </c>
      <c r="L146" s="1" t="n">
        <v>21.6</v>
      </c>
      <c r="M146" s="1" t="s">
        <v>17</v>
      </c>
    </row>
    <row r="147" customFormat="false" ht="15" hidden="true" customHeight="false" outlineLevel="0" collapsed="false">
      <c r="A147" s="1" t="n">
        <v>0</v>
      </c>
      <c r="B147" s="1" t="n">
        <v>0</v>
      </c>
      <c r="C147" s="1" t="s">
        <v>42</v>
      </c>
      <c r="D147" s="1" t="s">
        <v>43</v>
      </c>
      <c r="E147" s="1" t="s">
        <v>238</v>
      </c>
      <c r="F147" s="1" t="s">
        <v>16</v>
      </c>
      <c r="G147" s="1" t="n">
        <v>-21.3814805</v>
      </c>
      <c r="H147" s="1" t="n">
        <v>-50.2100452</v>
      </c>
      <c r="I147" s="1" t="n">
        <v>-21.4164035</v>
      </c>
      <c r="J147" s="1" t="n">
        <v>-50.0649111</v>
      </c>
      <c r="K147" s="1" t="n">
        <v>25.6</v>
      </c>
      <c r="L147" s="1" t="n">
        <v>22.2</v>
      </c>
      <c r="M147" s="1" t="s">
        <v>17</v>
      </c>
    </row>
    <row r="148" customFormat="false" ht="15" hidden="true" customHeight="false" outlineLevel="0" collapsed="false">
      <c r="A148" s="1" t="n">
        <v>0</v>
      </c>
      <c r="B148" s="1" t="n">
        <v>0</v>
      </c>
      <c r="C148" s="1" t="s">
        <v>30</v>
      </c>
      <c r="D148" s="1" t="s">
        <v>149</v>
      </c>
      <c r="E148" s="1" t="s">
        <v>239</v>
      </c>
      <c r="F148" s="1" t="s">
        <v>16</v>
      </c>
      <c r="G148" s="1" t="n">
        <v>-21.6213012</v>
      </c>
      <c r="H148" s="1" t="n">
        <v>-49.7962941</v>
      </c>
      <c r="I148" s="1" t="n">
        <v>-21.6721141</v>
      </c>
      <c r="J148" s="1" t="n">
        <v>-49.7555107</v>
      </c>
      <c r="K148" s="1" t="n">
        <v>10.9</v>
      </c>
      <c r="L148" s="1" t="n">
        <v>9.8</v>
      </c>
      <c r="M148" s="1" t="s">
        <v>17</v>
      </c>
    </row>
    <row r="149" customFormat="false" ht="15" hidden="false" customHeight="false" outlineLevel="0" collapsed="false">
      <c r="A149" s="1" t="n">
        <v>0</v>
      </c>
      <c r="B149" s="1" t="n">
        <v>1</v>
      </c>
      <c r="C149" s="1" t="s">
        <v>49</v>
      </c>
      <c r="D149" s="1" t="s">
        <v>49</v>
      </c>
      <c r="E149" s="1" t="s">
        <v>240</v>
      </c>
      <c r="F149" s="1" t="s">
        <v>51</v>
      </c>
      <c r="G149" s="1" t="n">
        <v>-21.909072</v>
      </c>
      <c r="H149" s="1" t="n">
        <v>-49.89861</v>
      </c>
      <c r="I149" s="1" t="n">
        <v>-22.227114</v>
      </c>
      <c r="J149" s="1" t="n">
        <v>-49.9359818</v>
      </c>
      <c r="K149" s="1" t="n">
        <v>43.8</v>
      </c>
      <c r="L149" s="1" t="n">
        <v>45.2</v>
      </c>
      <c r="M149" s="1" t="s">
        <v>17</v>
      </c>
    </row>
    <row r="150" customFormat="false" ht="15" hidden="false" customHeight="false" outlineLevel="0" collapsed="false">
      <c r="A150" s="1" t="n">
        <v>0</v>
      </c>
      <c r="B150" s="1" t="n">
        <v>1</v>
      </c>
      <c r="C150" s="1" t="s">
        <v>49</v>
      </c>
      <c r="D150" s="1" t="s">
        <v>49</v>
      </c>
      <c r="E150" s="1" t="s">
        <v>240</v>
      </c>
      <c r="F150" s="1" t="s">
        <v>52</v>
      </c>
      <c r="G150" s="1" t="n">
        <v>-21.909072</v>
      </c>
      <c r="H150" s="1" t="n">
        <v>-49.89861</v>
      </c>
      <c r="I150" s="1" t="n">
        <v>-22.224027</v>
      </c>
      <c r="J150" s="1" t="n">
        <v>-49.9472085</v>
      </c>
      <c r="K150" s="1" t="n">
        <v>42.4</v>
      </c>
      <c r="L150" s="1" t="n">
        <v>42.8</v>
      </c>
      <c r="M150" s="1" t="s">
        <v>17</v>
      </c>
    </row>
    <row r="151" customFormat="false" ht="15" hidden="true" customHeight="false" outlineLevel="0" collapsed="false">
      <c r="A151" s="1" t="n">
        <v>0</v>
      </c>
      <c r="B151" s="1" t="n">
        <v>0</v>
      </c>
      <c r="C151" s="1" t="s">
        <v>68</v>
      </c>
      <c r="D151" s="1" t="s">
        <v>139</v>
      </c>
      <c r="E151" s="1" t="s">
        <v>241</v>
      </c>
      <c r="F151" s="1" t="s">
        <v>16</v>
      </c>
      <c r="G151" s="1" t="n">
        <v>-20.4290496</v>
      </c>
      <c r="H151" s="1" t="n">
        <v>-47.8250067</v>
      </c>
      <c r="I151" s="1" t="n">
        <v>-20.3365676196353</v>
      </c>
      <c r="J151" s="1" t="n">
        <v>-47.7881778744425</v>
      </c>
      <c r="K151" s="1" t="n">
        <v>13.9</v>
      </c>
      <c r="L151" s="1" t="n">
        <v>13.1</v>
      </c>
      <c r="M151" s="1" t="s">
        <v>17</v>
      </c>
    </row>
    <row r="152" customFormat="false" ht="15" hidden="true" customHeight="false" outlineLevel="0" collapsed="false">
      <c r="A152" s="1" t="n">
        <v>0</v>
      </c>
      <c r="B152" s="1" t="n">
        <v>0</v>
      </c>
      <c r="C152" s="1" t="s">
        <v>39</v>
      </c>
      <c r="D152" s="1" t="s">
        <v>40</v>
      </c>
      <c r="E152" s="1" t="s">
        <v>242</v>
      </c>
      <c r="F152" s="1" t="s">
        <v>16</v>
      </c>
      <c r="G152" s="1" t="n">
        <v>-20.4976771</v>
      </c>
      <c r="H152" s="1" t="n">
        <v>-48.9452074</v>
      </c>
      <c r="I152" s="1" t="n">
        <v>-20.7391605987288</v>
      </c>
      <c r="J152" s="1" t="n">
        <v>-48.9064223670385</v>
      </c>
      <c r="K152" s="1" t="n">
        <v>32.9</v>
      </c>
      <c r="L152" s="1" t="n">
        <v>34.7</v>
      </c>
      <c r="M152" s="1" t="s">
        <v>17</v>
      </c>
    </row>
    <row r="153" customFormat="false" ht="15" hidden="true" customHeight="false" outlineLevel="0" collapsed="false">
      <c r="A153" s="1" t="n">
        <v>0</v>
      </c>
      <c r="B153" s="1" t="n">
        <v>0</v>
      </c>
      <c r="C153" s="1" t="s">
        <v>64</v>
      </c>
      <c r="D153" s="1" t="s">
        <v>219</v>
      </c>
      <c r="E153" s="1" t="s">
        <v>243</v>
      </c>
      <c r="F153" s="1" t="s">
        <v>16</v>
      </c>
      <c r="G153" s="1" t="n">
        <v>-20.0749605</v>
      </c>
      <c r="H153" s="1" t="n">
        <v>-50.3398517</v>
      </c>
      <c r="I153" s="1" t="n">
        <v>-20.2956731</v>
      </c>
      <c r="J153" s="1" t="n">
        <v>-50.2471189</v>
      </c>
      <c r="K153" s="1" t="n">
        <v>29.9</v>
      </c>
      <c r="L153" s="1" t="n">
        <v>31</v>
      </c>
      <c r="M153" s="1" t="s">
        <v>17</v>
      </c>
    </row>
    <row r="154" customFormat="false" ht="15" hidden="false" customHeight="false" outlineLevel="0" collapsed="false">
      <c r="A154" s="1" t="n">
        <v>0</v>
      </c>
      <c r="B154" s="1" t="n">
        <v>1</v>
      </c>
      <c r="C154" s="1" t="s">
        <v>49</v>
      </c>
      <c r="D154" s="1" t="s">
        <v>49</v>
      </c>
      <c r="E154" s="1" t="s">
        <v>244</v>
      </c>
      <c r="F154" s="1" t="s">
        <v>51</v>
      </c>
      <c r="G154" s="1" t="n">
        <v>-21.8950705</v>
      </c>
      <c r="H154" s="1" t="n">
        <v>-49.590107</v>
      </c>
      <c r="I154" s="1" t="n">
        <v>-22.227114</v>
      </c>
      <c r="J154" s="1" t="n">
        <v>-49.9359818</v>
      </c>
      <c r="K154" s="1" t="n">
        <v>63.4</v>
      </c>
      <c r="L154" s="1" t="n">
        <v>56.3</v>
      </c>
      <c r="M154" s="1" t="s">
        <v>17</v>
      </c>
    </row>
    <row r="155" customFormat="false" ht="15" hidden="false" customHeight="false" outlineLevel="0" collapsed="false">
      <c r="A155" s="1" t="n">
        <v>0</v>
      </c>
      <c r="B155" s="1" t="n">
        <v>1</v>
      </c>
      <c r="C155" s="1" t="s">
        <v>49</v>
      </c>
      <c r="D155" s="1" t="s">
        <v>49</v>
      </c>
      <c r="E155" s="1" t="s">
        <v>244</v>
      </c>
      <c r="F155" s="1" t="s">
        <v>52</v>
      </c>
      <c r="G155" s="1" t="n">
        <v>-21.8950705</v>
      </c>
      <c r="H155" s="1" t="n">
        <v>-49.590107</v>
      </c>
      <c r="I155" s="1" t="n">
        <v>-22.224027</v>
      </c>
      <c r="J155" s="1" t="n">
        <v>-49.9472085</v>
      </c>
      <c r="K155" s="1" t="n">
        <v>62.1</v>
      </c>
      <c r="L155" s="1" t="n">
        <v>53.9</v>
      </c>
      <c r="M155" s="1" t="s">
        <v>17</v>
      </c>
    </row>
    <row r="156" customFormat="false" ht="15" hidden="true" customHeight="false" outlineLevel="0" collapsed="false">
      <c r="A156" s="1" t="n">
        <v>0</v>
      </c>
      <c r="B156" s="1" t="n">
        <v>0</v>
      </c>
      <c r="C156" s="1" t="s">
        <v>84</v>
      </c>
      <c r="D156" s="1" t="s">
        <v>84</v>
      </c>
      <c r="E156" s="1" t="s">
        <v>245</v>
      </c>
      <c r="F156" s="1" t="s">
        <v>16</v>
      </c>
      <c r="G156" s="1" t="n">
        <v>-23.4136776</v>
      </c>
      <c r="H156" s="1" t="n">
        <v>-46.0383744</v>
      </c>
      <c r="I156" s="1" t="n">
        <v>-23.5094521</v>
      </c>
      <c r="J156" s="1" t="n">
        <v>-46.1937851</v>
      </c>
      <c r="K156" s="1" t="n">
        <v>25.1</v>
      </c>
      <c r="L156" s="1" t="n">
        <v>27.2</v>
      </c>
      <c r="M156" s="1" t="s">
        <v>17</v>
      </c>
    </row>
    <row r="157" customFormat="false" ht="15" hidden="true" customHeight="false" outlineLevel="0" collapsed="false">
      <c r="A157" s="1" t="n">
        <v>0</v>
      </c>
      <c r="B157" s="1" t="n">
        <v>0</v>
      </c>
      <c r="C157" s="1" t="s">
        <v>34</v>
      </c>
      <c r="D157" s="1" t="s">
        <v>35</v>
      </c>
      <c r="E157" s="1" t="s">
        <v>246</v>
      </c>
      <c r="F157" s="1" t="s">
        <v>16</v>
      </c>
      <c r="G157" s="1" t="n">
        <v>-23.3718195</v>
      </c>
      <c r="H157" s="1" t="n">
        <v>-48.184685</v>
      </c>
      <c r="I157" s="1" t="n">
        <v>-23.584442</v>
      </c>
      <c r="J157" s="1" t="n">
        <v>-48.0453462</v>
      </c>
      <c r="K157" s="1" t="n">
        <v>37.8</v>
      </c>
      <c r="L157" s="1" t="n">
        <v>42.6</v>
      </c>
      <c r="M157" s="1" t="s">
        <v>17</v>
      </c>
    </row>
    <row r="158" customFormat="false" ht="15" hidden="true" customHeight="false" outlineLevel="0" collapsed="false">
      <c r="A158" s="1" t="n">
        <v>0</v>
      </c>
      <c r="B158" s="1" t="n">
        <v>0</v>
      </c>
      <c r="C158" s="1" t="s">
        <v>103</v>
      </c>
      <c r="D158" s="1" t="s">
        <v>247</v>
      </c>
      <c r="E158" s="1" t="s">
        <v>248</v>
      </c>
      <c r="F158" s="1" t="s">
        <v>16</v>
      </c>
      <c r="G158" s="1" t="n">
        <v>-21.35938</v>
      </c>
      <c r="H158" s="1" t="n">
        <v>-48.23158</v>
      </c>
      <c r="I158" s="1" t="n">
        <v>-21.2612723</v>
      </c>
      <c r="J158" s="1" t="n">
        <v>-48.485534</v>
      </c>
      <c r="K158" s="1" t="n">
        <v>38.3</v>
      </c>
      <c r="L158" s="1" t="n">
        <v>34.5</v>
      </c>
      <c r="M158" s="1" t="s">
        <v>17</v>
      </c>
    </row>
    <row r="159" customFormat="false" ht="15" hidden="true" customHeight="false" outlineLevel="0" collapsed="false">
      <c r="A159" s="1" t="n">
        <v>0</v>
      </c>
      <c r="B159" s="1" t="n">
        <v>0</v>
      </c>
      <c r="C159" s="1" t="s">
        <v>103</v>
      </c>
      <c r="D159" s="1" t="s">
        <v>249</v>
      </c>
      <c r="E159" s="1" t="s">
        <v>250</v>
      </c>
      <c r="F159" s="1" t="s">
        <v>16</v>
      </c>
      <c r="G159" s="1" t="n">
        <v>-21.496092</v>
      </c>
      <c r="H159" s="1" t="n">
        <v>-48.0360685</v>
      </c>
      <c r="I159" s="1" t="n">
        <v>-21.3428894</v>
      </c>
      <c r="J159" s="1" t="n">
        <v>-47.728745</v>
      </c>
      <c r="K159" s="1" t="n">
        <v>56.4</v>
      </c>
      <c r="L159" s="1" t="n">
        <v>46.4</v>
      </c>
      <c r="M159" s="1" t="s">
        <v>17</v>
      </c>
    </row>
    <row r="160" customFormat="false" ht="15" hidden="true" customHeight="false" outlineLevel="0" collapsed="false">
      <c r="A160" s="1" t="n">
        <v>0</v>
      </c>
      <c r="B160" s="1" t="n">
        <v>0</v>
      </c>
      <c r="C160" s="1" t="s">
        <v>42</v>
      </c>
      <c r="D160" s="1" t="s">
        <v>251</v>
      </c>
      <c r="E160" s="1" t="s">
        <v>252</v>
      </c>
      <c r="F160" s="1" t="s">
        <v>16</v>
      </c>
      <c r="G160" s="1" t="n">
        <v>-20.6491637</v>
      </c>
      <c r="H160" s="1" t="n">
        <v>-50.6622974</v>
      </c>
      <c r="I160" s="1" t="n">
        <v>-20.685037022635</v>
      </c>
      <c r="J160" s="1" t="n">
        <v>-50.554985601498</v>
      </c>
      <c r="K160" s="1" t="n">
        <v>14.2</v>
      </c>
      <c r="L160" s="1" t="n">
        <v>14.9</v>
      </c>
      <c r="M160" s="1" t="s">
        <v>17</v>
      </c>
    </row>
    <row r="161" customFormat="false" ht="15" hidden="true" customHeight="false" outlineLevel="0" collapsed="false">
      <c r="A161" s="1" t="n">
        <v>0</v>
      </c>
      <c r="B161" s="1" t="n">
        <v>0</v>
      </c>
      <c r="C161" s="1" t="s">
        <v>49</v>
      </c>
      <c r="D161" s="1" t="s">
        <v>74</v>
      </c>
      <c r="E161" s="1" t="s">
        <v>253</v>
      </c>
      <c r="F161" s="1" t="s">
        <v>16</v>
      </c>
      <c r="G161" s="1" t="n">
        <v>-22.004508</v>
      </c>
      <c r="H161" s="1" t="n">
        <v>-50.3862746</v>
      </c>
      <c r="I161" s="1" t="n">
        <v>-21.9239111</v>
      </c>
      <c r="J161" s="1" t="n">
        <v>-50.5180547</v>
      </c>
      <c r="K161" s="1" t="n">
        <v>18.9</v>
      </c>
      <c r="L161" s="1" t="n">
        <v>19.6</v>
      </c>
      <c r="M161" s="1" t="s">
        <v>17</v>
      </c>
    </row>
    <row r="162" customFormat="false" ht="15" hidden="true" customHeight="false" outlineLevel="0" collapsed="false">
      <c r="A162" s="1" t="n">
        <v>0</v>
      </c>
      <c r="B162" s="1" t="n">
        <v>1</v>
      </c>
      <c r="C162" s="1" t="s">
        <v>82</v>
      </c>
      <c r="D162" s="1" t="s">
        <v>82</v>
      </c>
      <c r="E162" s="1" t="s">
        <v>254</v>
      </c>
      <c r="F162" s="1" t="s">
        <v>16</v>
      </c>
      <c r="G162" s="1" t="n">
        <v>-22.6332028</v>
      </c>
      <c r="H162" s="1" t="n">
        <v>-47.0545305</v>
      </c>
      <c r="I162" s="1" t="n">
        <v>-22.8267804850019</v>
      </c>
      <c r="J162" s="1" t="n">
        <v>-47.0640301726016</v>
      </c>
      <c r="K162" s="1" t="n">
        <v>35.4</v>
      </c>
      <c r="L162" s="1" t="n">
        <v>33.2</v>
      </c>
      <c r="M162" s="1" t="s">
        <v>17</v>
      </c>
    </row>
    <row r="163" customFormat="false" ht="15" hidden="true" customHeight="false" outlineLevel="0" collapsed="false">
      <c r="A163" s="1" t="n">
        <v>0</v>
      </c>
      <c r="B163" s="1" t="n">
        <v>0</v>
      </c>
      <c r="C163" s="1" t="s">
        <v>82</v>
      </c>
      <c r="D163" s="1" t="s">
        <v>255</v>
      </c>
      <c r="E163" s="1" t="s">
        <v>256</v>
      </c>
      <c r="F163" s="1" t="s">
        <v>16</v>
      </c>
      <c r="G163" s="1" t="n">
        <v>-22.8620175</v>
      </c>
      <c r="H163" s="1" t="n">
        <v>-47.2164219</v>
      </c>
      <c r="I163" s="1" t="n">
        <v>-22.8166025</v>
      </c>
      <c r="J163" s="1" t="n">
        <v>-47.2415473</v>
      </c>
      <c r="K163" s="1" t="n">
        <v>11.7</v>
      </c>
      <c r="L163" s="1" t="n">
        <v>13.2</v>
      </c>
      <c r="M163" s="1" t="s">
        <v>17</v>
      </c>
    </row>
    <row r="164" customFormat="false" ht="15" hidden="true" customHeight="false" outlineLevel="0" collapsed="false">
      <c r="A164" s="1" t="n">
        <v>0</v>
      </c>
      <c r="B164" s="1" t="n">
        <v>1</v>
      </c>
      <c r="C164" s="1" t="s">
        <v>30</v>
      </c>
      <c r="D164" s="1" t="s">
        <v>30</v>
      </c>
      <c r="E164" s="1" t="s">
        <v>257</v>
      </c>
      <c r="F164" s="1" t="s">
        <v>32</v>
      </c>
      <c r="G164" s="1" t="n">
        <v>-21.8928341</v>
      </c>
      <c r="H164" s="1" t="n">
        <v>-49.0226082</v>
      </c>
      <c r="I164" s="1" t="n">
        <v>-22.3305675</v>
      </c>
      <c r="J164" s="1" t="n">
        <v>-49.0775289</v>
      </c>
      <c r="K164" s="1" t="n">
        <v>52.2</v>
      </c>
      <c r="L164" s="1" t="n">
        <v>42.5</v>
      </c>
      <c r="M164" s="1" t="s">
        <v>17</v>
      </c>
    </row>
    <row r="165" customFormat="false" ht="15" hidden="true" customHeight="false" outlineLevel="0" collapsed="false">
      <c r="A165" s="1" t="n">
        <v>0</v>
      </c>
      <c r="B165" s="1" t="n">
        <v>1</v>
      </c>
      <c r="C165" s="1" t="s">
        <v>30</v>
      </c>
      <c r="D165" s="1" t="s">
        <v>30</v>
      </c>
      <c r="E165" s="1" t="s">
        <v>257</v>
      </c>
      <c r="F165" s="1" t="s">
        <v>33</v>
      </c>
      <c r="G165" s="1" t="n">
        <v>-21.8928341</v>
      </c>
      <c r="H165" s="1" t="n">
        <v>-49.0226082</v>
      </c>
      <c r="I165" s="1" t="n">
        <v>-22.3088056</v>
      </c>
      <c r="J165" s="1" t="n">
        <v>-49.0897729</v>
      </c>
      <c r="K165" s="1" t="n">
        <v>50.6</v>
      </c>
      <c r="L165" s="1" t="n">
        <v>40.5</v>
      </c>
      <c r="M165" s="1" t="s">
        <v>17</v>
      </c>
    </row>
    <row r="166" customFormat="false" ht="15" hidden="true" customHeight="false" outlineLevel="0" collapsed="false">
      <c r="A166" s="1" t="n">
        <v>0</v>
      </c>
      <c r="B166" s="1" t="n">
        <v>0</v>
      </c>
      <c r="C166" s="1" t="s">
        <v>24</v>
      </c>
      <c r="D166" s="1" t="s">
        <v>25</v>
      </c>
      <c r="E166" s="1" t="s">
        <v>258</v>
      </c>
      <c r="F166" s="1" t="s">
        <v>16</v>
      </c>
      <c r="G166" s="1" t="n">
        <v>-22.8742567</v>
      </c>
      <c r="H166" s="1" t="n">
        <v>-49.1593923</v>
      </c>
      <c r="I166" s="1" t="n">
        <v>-23.1036883</v>
      </c>
      <c r="J166" s="1" t="n">
        <v>-48.9287403</v>
      </c>
      <c r="K166" s="1" t="n">
        <v>60.9</v>
      </c>
      <c r="L166" s="1" t="n">
        <v>44.1</v>
      </c>
      <c r="M166" s="1" t="s">
        <v>17</v>
      </c>
    </row>
    <row r="167" customFormat="false" ht="15" hidden="true" customHeight="false" outlineLevel="0" collapsed="false">
      <c r="A167" s="1" t="n">
        <v>0</v>
      </c>
      <c r="B167" s="1" t="n">
        <v>0</v>
      </c>
      <c r="C167" s="1" t="s">
        <v>54</v>
      </c>
      <c r="D167" s="1" t="s">
        <v>205</v>
      </c>
      <c r="E167" s="1" t="s">
        <v>259</v>
      </c>
      <c r="F167" s="1" t="s">
        <v>16</v>
      </c>
      <c r="G167" s="1" t="n">
        <v>-21.9562015</v>
      </c>
      <c r="H167" s="1" t="n">
        <v>-48.0007848</v>
      </c>
      <c r="I167" s="1" t="n">
        <v>-22.0112277</v>
      </c>
      <c r="J167" s="1" t="n">
        <v>-47.9010162</v>
      </c>
      <c r="K167" s="1" t="n">
        <v>15.7</v>
      </c>
      <c r="L167" s="1" t="n">
        <v>16.1</v>
      </c>
      <c r="M167" s="1" t="s">
        <v>17</v>
      </c>
    </row>
    <row r="168" customFormat="false" ht="15" hidden="true" customHeight="false" outlineLevel="0" collapsed="false">
      <c r="A168" s="1" t="n">
        <v>0</v>
      </c>
      <c r="B168" s="1" t="n">
        <v>0</v>
      </c>
      <c r="C168" s="1" t="s">
        <v>112</v>
      </c>
      <c r="D168" s="1" t="s">
        <v>164</v>
      </c>
      <c r="E168" s="1" t="s">
        <v>260</v>
      </c>
      <c r="F168" s="1" t="s">
        <v>16</v>
      </c>
      <c r="G168" s="1" t="n">
        <v>-22.8131812</v>
      </c>
      <c r="H168" s="1" t="n">
        <v>-50.0720477</v>
      </c>
      <c r="I168" s="1" t="n">
        <v>-22.983918</v>
      </c>
      <c r="J168" s="1" t="n">
        <v>-49.8691021</v>
      </c>
      <c r="K168" s="1" t="n">
        <v>31.6</v>
      </c>
      <c r="L168" s="1" t="n">
        <v>28.3</v>
      </c>
      <c r="M168" s="1" t="s">
        <v>17</v>
      </c>
    </row>
    <row r="169" customFormat="false" ht="15" hidden="true" customHeight="false" outlineLevel="0" collapsed="false">
      <c r="A169" s="1" t="n">
        <v>0</v>
      </c>
      <c r="B169" s="1" t="n">
        <v>0</v>
      </c>
      <c r="C169" s="1" t="s">
        <v>34</v>
      </c>
      <c r="D169" s="1" t="s">
        <v>261</v>
      </c>
      <c r="E169" s="1" t="s">
        <v>262</v>
      </c>
      <c r="F169" s="1" t="s">
        <v>16</v>
      </c>
      <c r="G169" s="1" t="n">
        <v>-23.6544825</v>
      </c>
      <c r="H169" s="1" t="n">
        <v>-47.220856</v>
      </c>
      <c r="I169" s="1" t="n">
        <v>-23.7131624</v>
      </c>
      <c r="J169" s="1" t="n">
        <v>-47.4193369</v>
      </c>
      <c r="K169" s="1" t="n">
        <v>28</v>
      </c>
      <c r="L169" s="1" t="n">
        <v>28.9</v>
      </c>
      <c r="M169" s="1" t="s">
        <v>17</v>
      </c>
    </row>
    <row r="170" customFormat="false" ht="15" hidden="true" customHeight="false" outlineLevel="0" collapsed="false">
      <c r="A170" s="1" t="n">
        <v>0</v>
      </c>
      <c r="B170" s="1" t="n">
        <v>0</v>
      </c>
      <c r="C170" s="1" t="s">
        <v>13</v>
      </c>
      <c r="D170" s="1" t="s">
        <v>263</v>
      </c>
      <c r="E170" s="1" t="s">
        <v>264</v>
      </c>
      <c r="F170" s="1" t="s">
        <v>16</v>
      </c>
      <c r="G170" s="1" t="n">
        <v>-20.3413103</v>
      </c>
      <c r="H170" s="1" t="n">
        <v>-49.1970982</v>
      </c>
      <c r="I170" s="1" t="n">
        <v>-20.5380441023481</v>
      </c>
      <c r="J170" s="1" t="n">
        <v>-49.3244409186177</v>
      </c>
      <c r="K170" s="1" t="n">
        <v>28.6</v>
      </c>
      <c r="L170" s="1" t="n">
        <v>28.6</v>
      </c>
      <c r="M170" s="1" t="s">
        <v>17</v>
      </c>
    </row>
    <row r="171" customFormat="false" ht="15" hidden="true" customHeight="false" outlineLevel="0" collapsed="false">
      <c r="A171" s="1" t="n">
        <v>0</v>
      </c>
      <c r="B171" s="1" t="n">
        <v>0</v>
      </c>
      <c r="C171" s="1" t="s">
        <v>30</v>
      </c>
      <c r="D171" s="1" t="s">
        <v>97</v>
      </c>
      <c r="E171" s="1" t="s">
        <v>265</v>
      </c>
      <c r="F171" s="1" t="s">
        <v>16</v>
      </c>
      <c r="G171" s="1" t="n">
        <v>-22.5118084</v>
      </c>
      <c r="H171" s="1" t="n">
        <v>-48.5578207</v>
      </c>
      <c r="I171" s="1" t="n">
        <v>-22.293224</v>
      </c>
      <c r="J171" s="1" t="n">
        <v>-48.5608001</v>
      </c>
      <c r="K171" s="1" t="n">
        <v>28.2</v>
      </c>
      <c r="L171" s="1" t="n">
        <v>25.8</v>
      </c>
      <c r="M171" s="1" t="s">
        <v>17</v>
      </c>
    </row>
    <row r="172" customFormat="false" ht="15" hidden="true" customHeight="false" outlineLevel="0" collapsed="false">
      <c r="A172" s="1" t="n">
        <v>0</v>
      </c>
      <c r="B172" s="1" t="n">
        <v>0</v>
      </c>
      <c r="C172" s="1" t="s">
        <v>266</v>
      </c>
      <c r="D172" s="1" t="s">
        <v>267</v>
      </c>
      <c r="E172" s="1" t="s">
        <v>268</v>
      </c>
      <c r="F172" s="1" t="s">
        <v>16</v>
      </c>
      <c r="G172" s="1" t="n">
        <v>-23.2063475</v>
      </c>
      <c r="H172" s="1" t="n">
        <v>-46.156934</v>
      </c>
      <c r="I172" s="1" t="n">
        <v>-23.296135521001</v>
      </c>
      <c r="J172" s="1" t="n">
        <v>-45.963389543689</v>
      </c>
      <c r="K172" s="1" t="n">
        <v>31.5</v>
      </c>
      <c r="L172" s="1" t="n">
        <v>25.6</v>
      </c>
      <c r="M172" s="1" t="s">
        <v>17</v>
      </c>
    </row>
    <row r="173" customFormat="false" ht="15" hidden="true" customHeight="false" outlineLevel="0" collapsed="false">
      <c r="A173" s="1" t="n">
        <v>0</v>
      </c>
      <c r="B173" s="1" t="n">
        <v>0</v>
      </c>
      <c r="C173" s="1" t="s">
        <v>18</v>
      </c>
      <c r="D173" s="1" t="s">
        <v>151</v>
      </c>
      <c r="E173" s="1" t="s">
        <v>269</v>
      </c>
      <c r="F173" s="1" t="s">
        <v>16</v>
      </c>
      <c r="G173" s="1" t="n">
        <v>-22.1748508</v>
      </c>
      <c r="H173" s="1" t="n">
        <v>-51.2534615</v>
      </c>
      <c r="I173" s="1" t="n">
        <v>-22.1431815</v>
      </c>
      <c r="J173" s="1" t="n">
        <v>-51.1715728</v>
      </c>
      <c r="K173" s="1" t="n">
        <v>12.7</v>
      </c>
      <c r="L173" s="1" t="n">
        <v>13</v>
      </c>
      <c r="M173" s="1" t="s">
        <v>17</v>
      </c>
    </row>
    <row r="174" customFormat="false" ht="15" hidden="true" customHeight="false" outlineLevel="0" collapsed="false">
      <c r="A174" s="1" t="n">
        <v>0</v>
      </c>
      <c r="B174" s="1" t="n">
        <v>0</v>
      </c>
      <c r="C174" s="1" t="s">
        <v>64</v>
      </c>
      <c r="D174" s="1" t="s">
        <v>270</v>
      </c>
      <c r="E174" s="1" t="s">
        <v>271</v>
      </c>
      <c r="F174" s="1" t="s">
        <v>16</v>
      </c>
      <c r="G174" s="1" t="n">
        <v>-19.9802644</v>
      </c>
      <c r="H174" s="1" t="n">
        <v>-50.2906035</v>
      </c>
      <c r="I174" s="1" t="n">
        <v>-20.0046951</v>
      </c>
      <c r="J174" s="1" t="n">
        <v>-50.3707862</v>
      </c>
      <c r="K174" s="1" t="n">
        <v>9.5</v>
      </c>
      <c r="L174" s="1" t="n">
        <v>11.2</v>
      </c>
      <c r="M174" s="1" t="s">
        <v>17</v>
      </c>
    </row>
    <row r="175" customFormat="false" ht="15" hidden="true" customHeight="false" outlineLevel="0" collapsed="false">
      <c r="A175" s="1" t="n">
        <v>0</v>
      </c>
      <c r="B175" s="1" t="n">
        <v>0</v>
      </c>
      <c r="C175" s="1" t="s">
        <v>49</v>
      </c>
      <c r="D175" s="1" t="s">
        <v>228</v>
      </c>
      <c r="E175" s="1" t="s">
        <v>272</v>
      </c>
      <c r="F175" s="1" t="s">
        <v>16</v>
      </c>
      <c r="G175" s="1" t="n">
        <v>-21.7701831</v>
      </c>
      <c r="H175" s="1" t="n">
        <v>-50.9616718</v>
      </c>
      <c r="I175" s="1" t="n">
        <v>-21.6926132757716</v>
      </c>
      <c r="J175" s="1" t="n">
        <v>-51.0706469456515</v>
      </c>
      <c r="K175" s="1" t="n">
        <v>17.6</v>
      </c>
      <c r="L175" s="1" t="n">
        <v>19</v>
      </c>
      <c r="M175" s="1" t="s">
        <v>17</v>
      </c>
    </row>
    <row r="176" customFormat="false" ht="15" hidden="true" customHeight="false" outlineLevel="0" collapsed="false">
      <c r="A176" s="1" t="n">
        <v>0</v>
      </c>
      <c r="B176" s="1" t="n">
        <v>0</v>
      </c>
      <c r="C176" s="1" t="s">
        <v>112</v>
      </c>
      <c r="D176" s="1" t="s">
        <v>113</v>
      </c>
      <c r="E176" s="1" t="s">
        <v>273</v>
      </c>
      <c r="F176" s="1" t="s">
        <v>16</v>
      </c>
      <c r="G176" s="1" t="n">
        <v>-23.0544285</v>
      </c>
      <c r="H176" s="1" t="n">
        <v>-49.6264306</v>
      </c>
      <c r="I176" s="1" t="n">
        <v>-22.901501866441</v>
      </c>
      <c r="J176" s="1" t="n">
        <v>-49.6271577260513</v>
      </c>
      <c r="K176" s="1" t="n">
        <v>18.5</v>
      </c>
      <c r="L176" s="1" t="n">
        <v>20.1</v>
      </c>
      <c r="M176" s="1" t="s">
        <v>17</v>
      </c>
    </row>
    <row r="177" customFormat="false" ht="15" hidden="true" customHeight="false" outlineLevel="0" collapsed="false">
      <c r="A177" s="1" t="n">
        <v>0</v>
      </c>
      <c r="B177" s="1" t="n">
        <v>0</v>
      </c>
      <c r="C177" s="1" t="s">
        <v>34</v>
      </c>
      <c r="D177" s="1" t="s">
        <v>121</v>
      </c>
      <c r="E177" s="1" t="s">
        <v>274</v>
      </c>
      <c r="F177" s="1" t="s">
        <v>16</v>
      </c>
      <c r="G177" s="1" t="n">
        <v>-23.3508977</v>
      </c>
      <c r="H177" s="1" t="n">
        <v>-47.687611</v>
      </c>
      <c r="I177" s="1" t="n">
        <v>-23.3522859</v>
      </c>
      <c r="J177" s="1" t="n">
        <v>-47.8445248</v>
      </c>
      <c r="K177" s="1" t="n">
        <v>19.7</v>
      </c>
      <c r="L177" s="1" t="n">
        <v>24</v>
      </c>
      <c r="M177" s="1" t="s">
        <v>17</v>
      </c>
    </row>
    <row r="178" customFormat="false" ht="15" hidden="true" customHeight="false" outlineLevel="0" collapsed="false">
      <c r="A178" s="1" t="n">
        <v>0</v>
      </c>
      <c r="B178" s="1" t="n">
        <v>0</v>
      </c>
      <c r="C178" s="1" t="s">
        <v>27</v>
      </c>
      <c r="D178" s="1" t="s">
        <v>186</v>
      </c>
      <c r="E178" s="1" t="s">
        <v>275</v>
      </c>
      <c r="F178" s="1" t="s">
        <v>16</v>
      </c>
      <c r="G178" s="1" t="n">
        <v>-22.4356582</v>
      </c>
      <c r="H178" s="1" t="n">
        <v>-47.7146714</v>
      </c>
      <c r="I178" s="1" t="n">
        <v>-22.4187754</v>
      </c>
      <c r="J178" s="1" t="n">
        <v>-47.5667708</v>
      </c>
      <c r="K178" s="1" t="n">
        <v>20.7</v>
      </c>
      <c r="L178" s="1" t="n">
        <v>22.5</v>
      </c>
      <c r="M178" s="1" t="s">
        <v>17</v>
      </c>
    </row>
    <row r="179" customFormat="false" ht="15" hidden="true" customHeight="false" outlineLevel="0" collapsed="false">
      <c r="A179" s="1" t="n">
        <v>0</v>
      </c>
      <c r="B179" s="1" t="n">
        <v>0</v>
      </c>
      <c r="C179" s="1" t="s">
        <v>27</v>
      </c>
      <c r="D179" s="1" t="s">
        <v>181</v>
      </c>
      <c r="E179" s="1" t="s">
        <v>276</v>
      </c>
      <c r="F179" s="1" t="s">
        <v>16</v>
      </c>
      <c r="G179" s="1" t="n">
        <v>-22.5869091</v>
      </c>
      <c r="H179" s="1" t="n">
        <v>-47.5160966</v>
      </c>
      <c r="I179" s="1" t="n">
        <v>-22.579273</v>
      </c>
      <c r="J179" s="1" t="n">
        <v>-47.4005557</v>
      </c>
      <c r="K179" s="1" t="n">
        <v>15.1</v>
      </c>
      <c r="L179" s="1" t="n">
        <v>17.7</v>
      </c>
      <c r="M179" s="1" t="s">
        <v>17</v>
      </c>
    </row>
    <row r="180" customFormat="false" ht="15" hidden="true" customHeight="false" outlineLevel="0" collapsed="false">
      <c r="A180" s="1" t="n">
        <v>0</v>
      </c>
      <c r="B180" s="1" t="n">
        <v>0</v>
      </c>
      <c r="C180" s="1" t="s">
        <v>13</v>
      </c>
      <c r="D180" s="1" t="s">
        <v>80</v>
      </c>
      <c r="E180" s="1" t="s">
        <v>277</v>
      </c>
      <c r="F180" s="1" t="s">
        <v>16</v>
      </c>
      <c r="G180" s="1" t="n">
        <v>-21.2791964</v>
      </c>
      <c r="H180" s="1" t="n">
        <v>-49.4101967</v>
      </c>
      <c r="I180" s="1" t="n">
        <v>-21.1407509</v>
      </c>
      <c r="J180" s="1" t="n">
        <v>-48.9754937</v>
      </c>
      <c r="K180" s="1" t="n">
        <v>57.5</v>
      </c>
      <c r="L180" s="1" t="n">
        <v>60.7</v>
      </c>
      <c r="M180" s="1" t="s">
        <v>17</v>
      </c>
    </row>
    <row r="181" customFormat="false" ht="15" hidden="true" customHeight="false" outlineLevel="0" collapsed="false">
      <c r="A181" s="1" t="n">
        <v>0</v>
      </c>
      <c r="B181" s="1" t="n">
        <v>0</v>
      </c>
      <c r="C181" s="1" t="s">
        <v>153</v>
      </c>
      <c r="D181" s="1" t="s">
        <v>225</v>
      </c>
      <c r="E181" s="1" t="s">
        <v>278</v>
      </c>
      <c r="F181" s="1" t="s">
        <v>16</v>
      </c>
      <c r="G181" s="1" t="n">
        <v>-21.5691828</v>
      </c>
      <c r="H181" s="1" t="n">
        <v>-51.3494606</v>
      </c>
      <c r="I181" s="1" t="n">
        <v>-21.5153166</v>
      </c>
      <c r="J181" s="1" t="n">
        <v>-51.4390375</v>
      </c>
      <c r="K181" s="1" t="n">
        <v>16.6</v>
      </c>
      <c r="L181" s="1" t="n">
        <v>17.2</v>
      </c>
      <c r="M181" s="1" t="s">
        <v>17</v>
      </c>
    </row>
    <row r="182" customFormat="false" ht="15" hidden="true" customHeight="false" outlineLevel="0" collapsed="false">
      <c r="A182" s="1" t="n">
        <v>0</v>
      </c>
      <c r="B182" s="1" t="n">
        <v>0</v>
      </c>
      <c r="C182" s="1" t="s">
        <v>24</v>
      </c>
      <c r="D182" s="1" t="s">
        <v>94</v>
      </c>
      <c r="E182" s="1" t="s">
        <v>279</v>
      </c>
      <c r="F182" s="1" t="s">
        <v>16</v>
      </c>
      <c r="G182" s="1" t="n">
        <v>-23.4172598</v>
      </c>
      <c r="H182" s="1" t="n">
        <v>-49.0935788</v>
      </c>
      <c r="I182" s="1" t="n">
        <v>-23.5330527</v>
      </c>
      <c r="J182" s="1" t="n">
        <v>-49.2450779</v>
      </c>
      <c r="K182" s="1" t="n">
        <v>22.4</v>
      </c>
      <c r="L182" s="1" t="n">
        <v>21</v>
      </c>
      <c r="M182" s="1" t="s">
        <v>17</v>
      </c>
    </row>
    <row r="183" customFormat="false" ht="15" hidden="true" customHeight="false" outlineLevel="0" collapsed="false">
      <c r="A183" s="1" t="n">
        <v>0</v>
      </c>
      <c r="B183" s="1" t="n">
        <v>0</v>
      </c>
      <c r="C183" s="1" t="s">
        <v>13</v>
      </c>
      <c r="D183" s="1" t="s">
        <v>80</v>
      </c>
      <c r="E183" s="1" t="s">
        <v>280</v>
      </c>
      <c r="F183" s="1" t="s">
        <v>16</v>
      </c>
      <c r="G183" s="1" t="n">
        <v>-21.312294</v>
      </c>
      <c r="H183" s="1" t="n">
        <v>-49.0596336</v>
      </c>
      <c r="I183" s="1" t="n">
        <v>-21.1407509</v>
      </c>
      <c r="J183" s="1" t="n">
        <v>-48.9754937</v>
      </c>
      <c r="K183" s="1" t="n">
        <v>22.5</v>
      </c>
      <c r="L183" s="1" t="n">
        <v>24</v>
      </c>
      <c r="M183" s="1" t="s">
        <v>17</v>
      </c>
    </row>
    <row r="184" customFormat="false" ht="15" hidden="true" customHeight="false" outlineLevel="0" collapsed="false">
      <c r="A184" s="1" t="n">
        <v>0</v>
      </c>
      <c r="B184" s="1" t="n">
        <v>0</v>
      </c>
      <c r="C184" s="1" t="s">
        <v>30</v>
      </c>
      <c r="D184" s="1" t="s">
        <v>97</v>
      </c>
      <c r="E184" s="1" t="s">
        <v>281</v>
      </c>
      <c r="F184" s="1" t="s">
        <v>16</v>
      </c>
      <c r="G184" s="1" t="n">
        <v>-21.9816841</v>
      </c>
      <c r="H184" s="1" t="n">
        <v>-48.8046536</v>
      </c>
      <c r="I184" s="1" t="n">
        <v>-22.293224</v>
      </c>
      <c r="J184" s="1" t="n">
        <v>-48.5608001</v>
      </c>
      <c r="K184" s="1" t="n">
        <v>47</v>
      </c>
      <c r="L184" s="1" t="n">
        <v>43.4</v>
      </c>
      <c r="M184" s="1" t="s">
        <v>17</v>
      </c>
    </row>
    <row r="185" customFormat="false" ht="15" hidden="true" customHeight="false" outlineLevel="0" collapsed="false">
      <c r="A185" s="1" t="n">
        <v>0</v>
      </c>
      <c r="B185" s="1" t="n">
        <v>0</v>
      </c>
      <c r="C185" s="1" t="s">
        <v>100</v>
      </c>
      <c r="D185" s="1" t="s">
        <v>101</v>
      </c>
      <c r="E185" s="1" t="s">
        <v>282</v>
      </c>
      <c r="F185" s="1" t="s">
        <v>16</v>
      </c>
      <c r="G185" s="1" t="n">
        <v>-24.6409691</v>
      </c>
      <c r="H185" s="1" t="n">
        <v>-48.8410159</v>
      </c>
      <c r="I185" s="1" t="n">
        <v>-24.5108462</v>
      </c>
      <c r="J185" s="1" t="n">
        <v>-48.8449052</v>
      </c>
      <c r="K185" s="1" t="n">
        <v>23.8</v>
      </c>
      <c r="L185" s="1" t="n">
        <v>26.7</v>
      </c>
      <c r="M185" s="1" t="s">
        <v>17</v>
      </c>
    </row>
    <row r="186" customFormat="false" ht="15" hidden="true" customHeight="false" outlineLevel="0" collapsed="false">
      <c r="A186" s="1" t="n">
        <v>0</v>
      </c>
      <c r="B186" s="1" t="n">
        <v>0</v>
      </c>
      <c r="C186" s="1" t="s">
        <v>54</v>
      </c>
      <c r="D186" s="1" t="s">
        <v>129</v>
      </c>
      <c r="E186" s="1" t="s">
        <v>283</v>
      </c>
      <c r="F186" s="1" t="s">
        <v>16</v>
      </c>
      <c r="G186" s="1" t="n">
        <v>-21.5958368</v>
      </c>
      <c r="H186" s="1" t="n">
        <v>-48.8122696</v>
      </c>
      <c r="I186" s="1" t="n">
        <v>-21.7546344</v>
      </c>
      <c r="J186" s="1" t="n">
        <v>-48.8285504</v>
      </c>
      <c r="K186" s="1" t="n">
        <v>23</v>
      </c>
      <c r="L186" s="1" t="n">
        <v>27.1</v>
      </c>
      <c r="M186" s="1" t="s">
        <v>17</v>
      </c>
    </row>
    <row r="187" customFormat="false" ht="15" hidden="true" customHeight="false" outlineLevel="0" collapsed="false">
      <c r="A187" s="1" t="n">
        <v>0</v>
      </c>
      <c r="B187" s="1" t="n">
        <v>0</v>
      </c>
      <c r="C187" s="1" t="s">
        <v>24</v>
      </c>
      <c r="D187" s="1" t="s">
        <v>94</v>
      </c>
      <c r="E187" s="1" t="s">
        <v>284</v>
      </c>
      <c r="F187" s="1" t="s">
        <v>16</v>
      </c>
      <c r="G187" s="1" t="n">
        <v>-23.7066252</v>
      </c>
      <c r="H187" s="1" t="n">
        <v>-49.4895934</v>
      </c>
      <c r="I187" s="1" t="n">
        <v>-23.5330527</v>
      </c>
      <c r="J187" s="1" t="n">
        <v>-49.2450779</v>
      </c>
      <c r="K187" s="1" t="n">
        <v>38.3</v>
      </c>
      <c r="L187" s="1" t="n">
        <v>32.7</v>
      </c>
      <c r="M187" s="1" t="s">
        <v>17</v>
      </c>
    </row>
    <row r="188" customFormat="false" ht="15" hidden="true" customHeight="false" outlineLevel="0" collapsed="false">
      <c r="A188" s="1" t="n">
        <v>0</v>
      </c>
      <c r="B188" s="1" t="n">
        <v>0</v>
      </c>
      <c r="C188" s="1" t="s">
        <v>30</v>
      </c>
      <c r="D188" s="1" t="s">
        <v>97</v>
      </c>
      <c r="E188" s="1" t="s">
        <v>285</v>
      </c>
      <c r="F188" s="1" t="s">
        <v>16</v>
      </c>
      <c r="G188" s="1" t="n">
        <v>-22.2346755</v>
      </c>
      <c r="H188" s="1" t="n">
        <v>-48.7189744</v>
      </c>
      <c r="I188" s="1" t="n">
        <v>-22.293224</v>
      </c>
      <c r="J188" s="1" t="n">
        <v>-48.5608001</v>
      </c>
      <c r="K188" s="1" t="n">
        <v>23.6</v>
      </c>
      <c r="L188" s="1" t="n">
        <v>23.8</v>
      </c>
      <c r="M188" s="1" t="s">
        <v>17</v>
      </c>
    </row>
    <row r="189" customFormat="false" ht="15" hidden="true" customHeight="false" outlineLevel="0" collapsed="false">
      <c r="A189" s="1" t="n">
        <v>0</v>
      </c>
      <c r="B189" s="1" t="n">
        <v>0</v>
      </c>
      <c r="C189" s="1" t="s">
        <v>42</v>
      </c>
      <c r="D189" s="1" t="s">
        <v>286</v>
      </c>
      <c r="E189" s="1" t="s">
        <v>287</v>
      </c>
      <c r="F189" s="1" t="s">
        <v>16</v>
      </c>
      <c r="G189" s="1" t="n">
        <v>-20.6435211</v>
      </c>
      <c r="H189" s="1" t="n">
        <v>-51.5084479</v>
      </c>
      <c r="I189" s="1" t="n">
        <v>-20.4319045</v>
      </c>
      <c r="J189" s="1" t="n">
        <v>-51.3392496</v>
      </c>
      <c r="K189" s="1" t="n">
        <v>33.9</v>
      </c>
      <c r="L189" s="1" t="n">
        <v>29.9</v>
      </c>
      <c r="M189" s="1" t="s">
        <v>17</v>
      </c>
    </row>
    <row r="190" customFormat="false" ht="15" hidden="true" customHeight="false" outlineLevel="0" collapsed="false">
      <c r="A190" s="1" t="n">
        <v>0</v>
      </c>
      <c r="B190" s="1" t="n">
        <v>0</v>
      </c>
      <c r="C190" s="1" t="s">
        <v>84</v>
      </c>
      <c r="D190" s="1" t="s">
        <v>288</v>
      </c>
      <c r="E190" s="1" t="s">
        <v>289</v>
      </c>
      <c r="F190" s="1" t="s">
        <v>16</v>
      </c>
      <c r="G190" s="1" t="n">
        <v>-23.4754492</v>
      </c>
      <c r="H190" s="1" t="n">
        <v>-46.3514033</v>
      </c>
      <c r="I190" s="1" t="n">
        <v>-23.5380075282902</v>
      </c>
      <c r="J190" s="1" t="n">
        <v>-46.3584959166986</v>
      </c>
      <c r="K190" s="1" t="n">
        <v>9.6</v>
      </c>
      <c r="L190" s="1" t="n">
        <v>15.6</v>
      </c>
      <c r="M190" s="1" t="s">
        <v>17</v>
      </c>
    </row>
    <row r="191" customFormat="false" ht="15" hidden="true" customHeight="false" outlineLevel="0" collapsed="false">
      <c r="A191" s="1" t="n">
        <v>0</v>
      </c>
      <c r="B191" s="1" t="n">
        <v>0</v>
      </c>
      <c r="C191" s="1" t="s">
        <v>24</v>
      </c>
      <c r="D191" s="1" t="s">
        <v>24</v>
      </c>
      <c r="E191" s="1" t="s">
        <v>290</v>
      </c>
      <c r="F191" s="1" t="s">
        <v>16</v>
      </c>
      <c r="G191" s="1" t="n">
        <v>-23.1042417</v>
      </c>
      <c r="H191" s="1" t="n">
        <v>-48.6134874</v>
      </c>
      <c r="I191" s="1" t="n">
        <v>-22.8913439388248</v>
      </c>
      <c r="J191" s="1" t="n">
        <v>-48.4962954591084</v>
      </c>
      <c r="K191" s="1" t="n">
        <v>42.6</v>
      </c>
      <c r="L191" s="1" t="n">
        <v>37.2</v>
      </c>
      <c r="M191" s="1" t="s">
        <v>17</v>
      </c>
    </row>
    <row r="192" customFormat="false" ht="15" hidden="true" customHeight="false" outlineLevel="0" collapsed="false">
      <c r="A192" s="1" t="n">
        <v>0</v>
      </c>
      <c r="B192" s="1" t="n">
        <v>0</v>
      </c>
      <c r="C192" s="1" t="s">
        <v>68</v>
      </c>
      <c r="D192" s="1" t="s">
        <v>291</v>
      </c>
      <c r="E192" s="1" t="s">
        <v>292</v>
      </c>
      <c r="F192" s="1" t="s">
        <v>16</v>
      </c>
      <c r="G192" s="1" t="n">
        <v>-20.6406814</v>
      </c>
      <c r="H192" s="1" t="n">
        <v>-47.2193817</v>
      </c>
      <c r="I192" s="1" t="n">
        <v>-20.6412577</v>
      </c>
      <c r="J192" s="1" t="n">
        <v>-47.2817419</v>
      </c>
      <c r="K192" s="1" t="n">
        <v>9.3</v>
      </c>
      <c r="L192" s="1" t="n">
        <v>11.2</v>
      </c>
      <c r="M192" s="1" t="s">
        <v>17</v>
      </c>
    </row>
    <row r="193" customFormat="false" ht="15" hidden="true" customHeight="false" outlineLevel="0" collapsed="false">
      <c r="A193" s="1" t="n">
        <v>0</v>
      </c>
      <c r="B193" s="1" t="n">
        <v>0</v>
      </c>
      <c r="C193" s="1" t="s">
        <v>21</v>
      </c>
      <c r="D193" s="1" t="s">
        <v>169</v>
      </c>
      <c r="E193" s="1" t="s">
        <v>293</v>
      </c>
      <c r="F193" s="1" t="s">
        <v>16</v>
      </c>
      <c r="G193" s="1" t="n">
        <v>-21.730853</v>
      </c>
      <c r="H193" s="1" t="n">
        <v>-46.9743</v>
      </c>
      <c r="I193" s="1" t="n">
        <v>-21.6037017</v>
      </c>
      <c r="J193" s="1" t="n">
        <v>-46.8940207</v>
      </c>
      <c r="K193" s="1" t="n">
        <v>18</v>
      </c>
      <c r="L193" s="1" t="n">
        <v>20.7</v>
      </c>
      <c r="M193" s="1" t="s">
        <v>17</v>
      </c>
    </row>
    <row r="194" customFormat="false" ht="15" hidden="true" customHeight="false" outlineLevel="0" collapsed="false">
      <c r="A194" s="1" t="n">
        <v>0</v>
      </c>
      <c r="B194" s="1" t="n">
        <v>1</v>
      </c>
      <c r="C194" s="1" t="s">
        <v>82</v>
      </c>
      <c r="D194" s="1" t="s">
        <v>143</v>
      </c>
      <c r="E194" s="1" t="s">
        <v>294</v>
      </c>
      <c r="F194" s="1" t="s">
        <v>145</v>
      </c>
      <c r="G194" s="1" t="n">
        <v>-23.1531055</v>
      </c>
      <c r="H194" s="1" t="n">
        <v>-47.0580347</v>
      </c>
      <c r="I194" s="1" t="n">
        <v>-23.1838628</v>
      </c>
      <c r="J194" s="1" t="n">
        <v>-46.8899187</v>
      </c>
      <c r="K194" s="1" t="n">
        <v>22.1</v>
      </c>
      <c r="L194" s="1" t="n">
        <v>24.3</v>
      </c>
      <c r="M194" s="1" t="s">
        <v>17</v>
      </c>
    </row>
    <row r="195" customFormat="false" ht="15" hidden="true" customHeight="false" outlineLevel="0" collapsed="false">
      <c r="A195" s="1" t="n">
        <v>0</v>
      </c>
      <c r="B195" s="1" t="n">
        <v>1</v>
      </c>
      <c r="C195" s="1" t="s">
        <v>82</v>
      </c>
      <c r="D195" s="1" t="s">
        <v>143</v>
      </c>
      <c r="E195" s="1" t="s">
        <v>294</v>
      </c>
      <c r="F195" s="1" t="s">
        <v>146</v>
      </c>
      <c r="G195" s="1" t="n">
        <v>-23.1531055</v>
      </c>
      <c r="H195" s="1" t="n">
        <v>-47.0580347</v>
      </c>
      <c r="I195" s="1" t="n">
        <v>-23.205120222563</v>
      </c>
      <c r="J195" s="1" t="n">
        <v>-46.8921294032143</v>
      </c>
      <c r="K195" s="1" t="n">
        <v>22.4</v>
      </c>
      <c r="L195" s="1" t="n">
        <v>24</v>
      </c>
      <c r="M195" s="1" t="s">
        <v>17</v>
      </c>
    </row>
    <row r="196" customFormat="false" ht="15" hidden="true" customHeight="false" outlineLevel="0" collapsed="false">
      <c r="A196" s="1" t="n">
        <v>0</v>
      </c>
      <c r="B196" s="1" t="n">
        <v>0</v>
      </c>
      <c r="C196" s="1" t="s">
        <v>39</v>
      </c>
      <c r="D196" s="1" t="s">
        <v>39</v>
      </c>
      <c r="E196" s="1" t="s">
        <v>295</v>
      </c>
      <c r="F196" s="1" t="s">
        <v>16</v>
      </c>
      <c r="G196" s="1" t="n">
        <v>-20.6921079</v>
      </c>
      <c r="H196" s="1" t="n">
        <v>-48.4144076</v>
      </c>
      <c r="I196" s="1" t="n">
        <v>-20.3255718</v>
      </c>
      <c r="J196" s="1" t="n">
        <v>-48.3103505</v>
      </c>
      <c r="K196" s="1" t="n">
        <v>74</v>
      </c>
      <c r="L196" s="1" t="n">
        <v>57.6</v>
      </c>
      <c r="M196" s="1" t="s">
        <v>17</v>
      </c>
    </row>
    <row r="197" customFormat="false" ht="15" hidden="true" customHeight="false" outlineLevel="0" collapsed="false">
      <c r="A197" s="1" t="n">
        <v>0</v>
      </c>
      <c r="B197" s="1" t="n">
        <v>0</v>
      </c>
      <c r="C197" s="1" t="s">
        <v>103</v>
      </c>
      <c r="D197" s="1" t="s">
        <v>247</v>
      </c>
      <c r="E197" s="1" t="s">
        <v>296</v>
      </c>
      <c r="F197" s="1" t="s">
        <v>16</v>
      </c>
      <c r="G197" s="1" t="n">
        <v>-21.252037</v>
      </c>
      <c r="H197" s="1" t="n">
        <v>-48.325223</v>
      </c>
      <c r="I197" s="1" t="n">
        <v>-21.2612723</v>
      </c>
      <c r="J197" s="1" t="n">
        <v>-48.485534</v>
      </c>
      <c r="K197" s="1" t="n">
        <v>18</v>
      </c>
      <c r="L197" s="1" t="n">
        <v>20.1</v>
      </c>
      <c r="M197" s="1" t="s">
        <v>17</v>
      </c>
    </row>
    <row r="198" customFormat="false" ht="15" hidden="true" customHeight="false" outlineLevel="0" collapsed="false">
      <c r="A198" s="1" t="n">
        <v>0</v>
      </c>
      <c r="B198" s="1" t="n">
        <v>1</v>
      </c>
      <c r="C198" s="1" t="s">
        <v>82</v>
      </c>
      <c r="D198" s="1" t="s">
        <v>82</v>
      </c>
      <c r="E198" s="1" t="s">
        <v>297</v>
      </c>
      <c r="F198" s="1" t="s">
        <v>16</v>
      </c>
      <c r="G198" s="1" t="n">
        <v>-22.70374</v>
      </c>
      <c r="H198" s="1" t="n">
        <v>-46.985062</v>
      </c>
      <c r="I198" s="1" t="n">
        <v>-22.8267804850019</v>
      </c>
      <c r="J198" s="1" t="n">
        <v>-47.0640301726016</v>
      </c>
      <c r="K198" s="1" t="n">
        <v>25.3</v>
      </c>
      <c r="L198" s="1" t="n">
        <v>24.1</v>
      </c>
      <c r="M198" s="1" t="s">
        <v>17</v>
      </c>
    </row>
    <row r="199" customFormat="false" ht="15" hidden="true" customHeight="false" outlineLevel="0" collapsed="false">
      <c r="A199" s="1" t="n">
        <v>0</v>
      </c>
      <c r="B199" s="1" t="n">
        <v>0</v>
      </c>
      <c r="C199" s="1" t="s">
        <v>266</v>
      </c>
      <c r="D199" s="1" t="s">
        <v>298</v>
      </c>
      <c r="E199" s="1" t="s">
        <v>299</v>
      </c>
      <c r="F199" s="1" t="s">
        <v>16</v>
      </c>
      <c r="G199" s="1" t="n">
        <v>-23.2556416</v>
      </c>
      <c r="H199" s="1" t="n">
        <v>-45.6919926</v>
      </c>
      <c r="I199" s="1" t="n">
        <v>-23.1041235129502</v>
      </c>
      <c r="J199" s="1" t="n">
        <v>-45.7041502768152</v>
      </c>
      <c r="K199" s="1" t="n">
        <v>24.4</v>
      </c>
      <c r="L199" s="1" t="n">
        <v>23.2</v>
      </c>
      <c r="M199" s="1" t="s">
        <v>17</v>
      </c>
    </row>
    <row r="200" customFormat="false" ht="15" hidden="true" customHeight="false" outlineLevel="0" collapsed="false">
      <c r="A200" s="1" t="n">
        <v>0</v>
      </c>
      <c r="B200" s="1" t="n">
        <v>1</v>
      </c>
      <c r="C200" s="1" t="s">
        <v>106</v>
      </c>
      <c r="D200" s="1" t="s">
        <v>107</v>
      </c>
      <c r="E200" s="1" t="s">
        <v>300</v>
      </c>
      <c r="F200" s="1" t="s">
        <v>16</v>
      </c>
      <c r="G200" s="1" t="n">
        <v>-23.5282246</v>
      </c>
      <c r="H200" s="1" t="n">
        <v>-46.902003</v>
      </c>
      <c r="I200" s="1" t="n">
        <v>-23.5706964</v>
      </c>
      <c r="J200" s="1" t="n">
        <v>-46.7104754</v>
      </c>
      <c r="K200" s="1" t="n">
        <v>24.7</v>
      </c>
      <c r="L200" s="1" t="n">
        <v>23.9</v>
      </c>
      <c r="M200" s="1" t="s">
        <v>17</v>
      </c>
    </row>
    <row r="201" customFormat="false" ht="15" hidden="true" customHeight="false" outlineLevel="0" collapsed="false">
      <c r="A201" s="1" t="n">
        <v>0</v>
      </c>
      <c r="B201" s="1" t="n">
        <v>0</v>
      </c>
      <c r="C201" s="1" t="s">
        <v>103</v>
      </c>
      <c r="D201" s="1" t="s">
        <v>103</v>
      </c>
      <c r="E201" s="1" t="s">
        <v>301</v>
      </c>
      <c r="F201" s="1" t="s">
        <v>16</v>
      </c>
      <c r="G201" s="1" t="n">
        <v>-21.0255126</v>
      </c>
      <c r="H201" s="1" t="n">
        <v>-47.7706807</v>
      </c>
      <c r="I201" s="1" t="n">
        <v>-21.1705705</v>
      </c>
      <c r="J201" s="1" t="n">
        <v>-47.8495501</v>
      </c>
      <c r="K201" s="1" t="n">
        <v>26.6</v>
      </c>
      <c r="L201" s="1" t="n">
        <v>25.3</v>
      </c>
      <c r="M201" s="1" t="s">
        <v>17</v>
      </c>
    </row>
    <row r="202" customFormat="false" ht="15" hidden="true" customHeight="false" outlineLevel="0" collapsed="false">
      <c r="A202" s="1" t="n">
        <v>0</v>
      </c>
      <c r="B202" s="1" t="n">
        <v>1</v>
      </c>
      <c r="C202" s="1" t="s">
        <v>82</v>
      </c>
      <c r="D202" s="1" t="s">
        <v>143</v>
      </c>
      <c r="E202" s="1" t="s">
        <v>302</v>
      </c>
      <c r="F202" s="1" t="s">
        <v>146</v>
      </c>
      <c r="G202" s="1" t="n">
        <v>-23.0949649</v>
      </c>
      <c r="H202" s="1" t="n">
        <v>-46.7148565</v>
      </c>
      <c r="I202" s="1" t="n">
        <v>-23.205120222563</v>
      </c>
      <c r="J202" s="1" t="n">
        <v>-46.8921294032143</v>
      </c>
      <c r="K202" s="1" t="n">
        <v>28.8</v>
      </c>
      <c r="L202" s="1" t="n">
        <v>34.5</v>
      </c>
      <c r="M202" s="1" t="s">
        <v>17</v>
      </c>
    </row>
    <row r="203" customFormat="false" ht="15" hidden="true" customHeight="false" outlineLevel="0" collapsed="false">
      <c r="A203" s="1" t="n">
        <v>0</v>
      </c>
      <c r="B203" s="1" t="n">
        <v>1</v>
      </c>
      <c r="C203" s="1" t="s">
        <v>82</v>
      </c>
      <c r="D203" s="1" t="s">
        <v>143</v>
      </c>
      <c r="E203" s="1" t="s">
        <v>302</v>
      </c>
      <c r="F203" s="1" t="s">
        <v>145</v>
      </c>
      <c r="G203" s="1" t="n">
        <v>-23.0949649</v>
      </c>
      <c r="H203" s="1" t="n">
        <v>-46.7148565</v>
      </c>
      <c r="I203" s="1" t="n">
        <v>-23.1838628</v>
      </c>
      <c r="J203" s="1" t="n">
        <v>-46.8899187</v>
      </c>
      <c r="K203" s="1" t="n">
        <v>29.3</v>
      </c>
      <c r="L203" s="1" t="n">
        <v>33.2</v>
      </c>
      <c r="M203" s="1" t="s">
        <v>17</v>
      </c>
    </row>
    <row r="204" customFormat="false" ht="15" hidden="true" customHeight="false" outlineLevel="0" collapsed="false">
      <c r="A204" s="1" t="n">
        <v>0</v>
      </c>
      <c r="B204" s="1" t="n">
        <v>0</v>
      </c>
      <c r="C204" s="1" t="s">
        <v>68</v>
      </c>
      <c r="D204" s="1" t="s">
        <v>303</v>
      </c>
      <c r="E204" s="1" t="s">
        <v>304</v>
      </c>
      <c r="F204" s="1" t="s">
        <v>16</v>
      </c>
      <c r="G204" s="1" t="n">
        <v>-20.3104773</v>
      </c>
      <c r="H204" s="1" t="n">
        <v>-47.5915669</v>
      </c>
      <c r="I204" s="1" t="n">
        <v>-20.2580497</v>
      </c>
      <c r="J204" s="1" t="n">
        <v>-47.4768148</v>
      </c>
      <c r="K204" s="1" t="n">
        <v>15</v>
      </c>
      <c r="L204" s="1" t="n">
        <v>17.1</v>
      </c>
      <c r="M204" s="1" t="s">
        <v>17</v>
      </c>
    </row>
    <row r="205" customFormat="false" ht="15" hidden="true" customHeight="false" outlineLevel="0" collapsed="false">
      <c r="A205" s="1" t="n">
        <v>0</v>
      </c>
      <c r="B205" s="1" t="n">
        <v>0</v>
      </c>
      <c r="C205" s="1" t="s">
        <v>82</v>
      </c>
      <c r="D205" s="1" t="s">
        <v>305</v>
      </c>
      <c r="E205" s="1" t="s">
        <v>306</v>
      </c>
      <c r="F205" s="1" t="s">
        <v>16</v>
      </c>
      <c r="G205" s="1" t="n">
        <v>-22.930004</v>
      </c>
      <c r="H205" s="1" t="n">
        <v>-46.275208</v>
      </c>
      <c r="I205" s="1" t="n">
        <v>-22.9452851</v>
      </c>
      <c r="J205" s="1" t="n">
        <v>-46.5497959</v>
      </c>
      <c r="K205" s="1" t="n">
        <v>42.2</v>
      </c>
      <c r="L205" s="1" t="n">
        <v>46.6</v>
      </c>
      <c r="M205" s="1" t="s">
        <v>17</v>
      </c>
    </row>
    <row r="206" customFormat="false" ht="15" hidden="true" customHeight="false" outlineLevel="0" collapsed="false">
      <c r="A206" s="1" t="n">
        <v>0</v>
      </c>
      <c r="B206" s="1" t="n">
        <v>0</v>
      </c>
      <c r="C206" s="1" t="s">
        <v>18</v>
      </c>
      <c r="D206" s="1" t="s">
        <v>307</v>
      </c>
      <c r="E206" s="1" t="s">
        <v>308</v>
      </c>
      <c r="F206" s="1" t="s">
        <v>16</v>
      </c>
      <c r="G206" s="1" t="n">
        <v>-22.2486157</v>
      </c>
      <c r="H206" s="1" t="n">
        <v>-50.7677114</v>
      </c>
      <c r="I206" s="1" t="n">
        <v>-22.2335045</v>
      </c>
      <c r="J206" s="1" t="n">
        <v>-50.8967191</v>
      </c>
      <c r="K206" s="1" t="n">
        <v>15</v>
      </c>
      <c r="L206" s="1" t="n">
        <v>16</v>
      </c>
      <c r="M206" s="1" t="s">
        <v>17</v>
      </c>
    </row>
    <row r="207" customFormat="false" ht="15" hidden="false" customHeight="false" outlineLevel="0" collapsed="false">
      <c r="A207" s="1" t="n">
        <v>0</v>
      </c>
      <c r="B207" s="1" t="n">
        <v>1</v>
      </c>
      <c r="C207" s="1" t="s">
        <v>49</v>
      </c>
      <c r="D207" s="1" t="s">
        <v>49</v>
      </c>
      <c r="E207" s="1" t="s">
        <v>309</v>
      </c>
      <c r="F207" s="1" t="s">
        <v>51</v>
      </c>
      <c r="G207" s="1" t="n">
        <v>-22.0099839</v>
      </c>
      <c r="H207" s="1" t="n">
        <v>-49.7889446</v>
      </c>
      <c r="I207" s="1" t="n">
        <v>-22.227114</v>
      </c>
      <c r="J207" s="1" t="n">
        <v>-49.9359818</v>
      </c>
      <c r="K207" s="1" t="n">
        <v>37.7</v>
      </c>
      <c r="L207" s="1" t="n">
        <v>37.7</v>
      </c>
      <c r="M207" s="1" t="s">
        <v>17</v>
      </c>
    </row>
    <row r="208" customFormat="false" ht="15" hidden="false" customHeight="false" outlineLevel="0" collapsed="false">
      <c r="A208" s="1" t="n">
        <v>0</v>
      </c>
      <c r="B208" s="1" t="n">
        <v>1</v>
      </c>
      <c r="C208" s="1" t="s">
        <v>49</v>
      </c>
      <c r="D208" s="1" t="s">
        <v>49</v>
      </c>
      <c r="E208" s="1" t="s">
        <v>309</v>
      </c>
      <c r="F208" s="1" t="s">
        <v>52</v>
      </c>
      <c r="G208" s="1" t="n">
        <v>-22.0099839</v>
      </c>
      <c r="H208" s="1" t="n">
        <v>-49.7889446</v>
      </c>
      <c r="I208" s="1" t="n">
        <v>-22.224027</v>
      </c>
      <c r="J208" s="1" t="n">
        <v>-49.9472085</v>
      </c>
      <c r="K208" s="1" t="n">
        <v>36.4</v>
      </c>
      <c r="L208" s="1" t="n">
        <v>35.3</v>
      </c>
      <c r="M208" s="1" t="s">
        <v>17</v>
      </c>
    </row>
    <row r="209" customFormat="false" ht="15" hidden="true" customHeight="false" outlineLevel="0" collapsed="false">
      <c r="A209" s="1" t="n">
        <v>0</v>
      </c>
      <c r="B209" s="1" t="n">
        <v>0</v>
      </c>
      <c r="C209" s="1" t="s">
        <v>34</v>
      </c>
      <c r="D209" s="1" t="s">
        <v>121</v>
      </c>
      <c r="E209" s="1" t="s">
        <v>310</v>
      </c>
      <c r="F209" s="1" t="s">
        <v>16</v>
      </c>
      <c r="G209" s="1" t="n">
        <v>-23.0843839</v>
      </c>
      <c r="H209" s="1" t="n">
        <v>-47.7882279</v>
      </c>
      <c r="I209" s="1" t="n">
        <v>-23.3522859</v>
      </c>
      <c r="J209" s="1" t="n">
        <v>-47.8445248</v>
      </c>
      <c r="K209" s="1" t="n">
        <v>39.8</v>
      </c>
      <c r="L209" s="1" t="n">
        <v>36.7</v>
      </c>
      <c r="M209" s="1" t="s">
        <v>17</v>
      </c>
    </row>
    <row r="210" customFormat="false" ht="15" hidden="true" customHeight="false" outlineLevel="0" collapsed="false">
      <c r="A210" s="1" t="n">
        <v>0</v>
      </c>
      <c r="B210" s="1" t="n">
        <v>0</v>
      </c>
      <c r="C210" s="1" t="s">
        <v>42</v>
      </c>
      <c r="D210" s="1" t="s">
        <v>311</v>
      </c>
      <c r="E210" s="1" t="s">
        <v>312</v>
      </c>
      <c r="F210" s="1" t="s">
        <v>16</v>
      </c>
      <c r="G210" s="1" t="n">
        <v>-21.1665477</v>
      </c>
      <c r="H210" s="1" t="n">
        <v>-51.0410539</v>
      </c>
      <c r="I210" s="1" t="n">
        <v>-21.124914</v>
      </c>
      <c r="J210" s="1" t="n">
        <v>-51.1033197</v>
      </c>
      <c r="K210" s="1" t="n">
        <v>9.1</v>
      </c>
      <c r="L210" s="1" t="n">
        <v>10.6</v>
      </c>
      <c r="M210" s="1" t="s">
        <v>17</v>
      </c>
    </row>
    <row r="211" customFormat="false" ht="15" hidden="true" customHeight="false" outlineLevel="0" collapsed="false">
      <c r="A211" s="1" t="n">
        <v>0</v>
      </c>
      <c r="B211" s="1" t="n">
        <v>0</v>
      </c>
      <c r="C211" s="1" t="s">
        <v>61</v>
      </c>
      <c r="D211" s="1" t="s">
        <v>77</v>
      </c>
      <c r="E211" s="1" t="s">
        <v>313</v>
      </c>
      <c r="F211" s="1" t="s">
        <v>16</v>
      </c>
      <c r="G211" s="1" t="n">
        <v>-22.5678335</v>
      </c>
      <c r="H211" s="1" t="n">
        <v>-44.90597</v>
      </c>
      <c r="I211" s="1" t="n">
        <v>-22.5754109</v>
      </c>
      <c r="J211" s="1" t="n">
        <v>-44.9635404</v>
      </c>
      <c r="K211" s="1" t="n">
        <v>7.7</v>
      </c>
      <c r="L211" s="1" t="n">
        <v>11.1</v>
      </c>
      <c r="M211" s="1" t="s">
        <v>17</v>
      </c>
    </row>
    <row r="212" customFormat="false" ht="15" hidden="true" customHeight="false" outlineLevel="0" collapsed="false">
      <c r="A212" s="1" t="n">
        <v>0</v>
      </c>
      <c r="B212" s="1" t="n">
        <v>0</v>
      </c>
      <c r="C212" s="1" t="s">
        <v>82</v>
      </c>
      <c r="D212" s="1" t="s">
        <v>314</v>
      </c>
      <c r="E212" s="1" t="s">
        <v>315</v>
      </c>
      <c r="F212" s="1" t="s">
        <v>16</v>
      </c>
      <c r="G212" s="1" t="n">
        <v>-22.5229637</v>
      </c>
      <c r="H212" s="1" t="n">
        <v>-46.6502119</v>
      </c>
      <c r="I212" s="1" t="n">
        <v>-22.4740674</v>
      </c>
      <c r="J212" s="1" t="n">
        <v>-46.6339524</v>
      </c>
      <c r="K212" s="1" t="n">
        <v>7.3</v>
      </c>
      <c r="L212" s="1" t="n">
        <v>11.3</v>
      </c>
      <c r="M212" s="1" t="s">
        <v>17</v>
      </c>
    </row>
    <row r="213" customFormat="false" ht="15" hidden="true" customHeight="false" outlineLevel="0" collapsed="false">
      <c r="A213" s="1" t="n">
        <v>0</v>
      </c>
      <c r="B213" s="1" t="n">
        <v>0</v>
      </c>
      <c r="C213" s="1" t="s">
        <v>42</v>
      </c>
      <c r="D213" s="1" t="s">
        <v>134</v>
      </c>
      <c r="E213" s="1" t="s">
        <v>316</v>
      </c>
      <c r="F213" s="1" t="s">
        <v>16</v>
      </c>
      <c r="G213" s="1" t="n">
        <v>-20.9672545</v>
      </c>
      <c r="H213" s="1" t="n">
        <v>-50.224966</v>
      </c>
      <c r="I213" s="1" t="n">
        <v>-21.0613906</v>
      </c>
      <c r="J213" s="1" t="n">
        <v>-50.1468206</v>
      </c>
      <c r="K213" s="1" t="n">
        <v>14.2</v>
      </c>
      <c r="L213" s="1" t="n">
        <v>16.5</v>
      </c>
      <c r="M213" s="1" t="s">
        <v>17</v>
      </c>
    </row>
    <row r="214" customFormat="false" ht="15" hidden="true" customHeight="false" outlineLevel="0" collapsed="false">
      <c r="A214" s="1" t="n">
        <v>0</v>
      </c>
      <c r="B214" s="1" t="n">
        <v>1</v>
      </c>
      <c r="C214" s="1" t="s">
        <v>82</v>
      </c>
      <c r="D214" s="1" t="s">
        <v>143</v>
      </c>
      <c r="E214" s="1" t="s">
        <v>317</v>
      </c>
      <c r="F214" s="1" t="s">
        <v>146</v>
      </c>
      <c r="G214" s="1" t="n">
        <v>-23.08639</v>
      </c>
      <c r="H214" s="1" t="n">
        <v>-46.95056</v>
      </c>
      <c r="I214" s="1" t="n">
        <v>-23.205120222563</v>
      </c>
      <c r="J214" s="1" t="n">
        <v>-46.8921294032143</v>
      </c>
      <c r="K214" s="1" t="n">
        <v>19</v>
      </c>
      <c r="L214" s="1" t="n">
        <v>16.7</v>
      </c>
      <c r="M214" s="1" t="s">
        <v>17</v>
      </c>
    </row>
    <row r="215" customFormat="false" ht="15" hidden="true" customHeight="false" outlineLevel="0" collapsed="false">
      <c r="A215" s="1" t="n">
        <v>0</v>
      </c>
      <c r="B215" s="1" t="n">
        <v>1</v>
      </c>
      <c r="C215" s="1" t="s">
        <v>82</v>
      </c>
      <c r="D215" s="1" t="s">
        <v>143</v>
      </c>
      <c r="E215" s="1" t="s">
        <v>317</v>
      </c>
      <c r="F215" s="1" t="s">
        <v>145</v>
      </c>
      <c r="G215" s="1" t="n">
        <v>-23.08639</v>
      </c>
      <c r="H215" s="1" t="n">
        <v>-46.95056</v>
      </c>
      <c r="I215" s="1" t="n">
        <v>-23.1838628</v>
      </c>
      <c r="J215" s="1" t="n">
        <v>-46.8899187</v>
      </c>
      <c r="K215" s="1" t="n">
        <v>14.1</v>
      </c>
      <c r="L215" s="1" t="n">
        <v>16.3</v>
      </c>
      <c r="M215" s="1" t="s">
        <v>17</v>
      </c>
    </row>
    <row r="216" customFormat="false" ht="15" hidden="true" customHeight="false" outlineLevel="0" collapsed="false">
      <c r="A216" s="1" t="n">
        <v>0</v>
      </c>
      <c r="B216" s="1" t="n">
        <v>0</v>
      </c>
      <c r="C216" s="1" t="s">
        <v>49</v>
      </c>
      <c r="D216" s="1" t="s">
        <v>228</v>
      </c>
      <c r="E216" s="1" t="s">
        <v>318</v>
      </c>
      <c r="F216" s="1" t="s">
        <v>16</v>
      </c>
      <c r="G216" s="1" t="n">
        <v>-21.7211293</v>
      </c>
      <c r="H216" s="1" t="n">
        <v>-51.0188</v>
      </c>
      <c r="I216" s="1" t="n">
        <v>-21.6926132757716</v>
      </c>
      <c r="J216" s="1" t="n">
        <v>-51.0706469456515</v>
      </c>
      <c r="K216" s="1" t="n">
        <v>7.2</v>
      </c>
      <c r="L216" s="1" t="n">
        <v>8.5</v>
      </c>
      <c r="M216" s="1" t="s">
        <v>17</v>
      </c>
    </row>
    <row r="217" customFormat="false" ht="15" hidden="true" customHeight="false" outlineLevel="0" collapsed="false">
      <c r="A217" s="1" t="n">
        <v>0</v>
      </c>
      <c r="B217" s="1" t="n">
        <v>0</v>
      </c>
      <c r="C217" s="1" t="s">
        <v>30</v>
      </c>
      <c r="D217" s="1" t="s">
        <v>141</v>
      </c>
      <c r="E217" s="1" t="s">
        <v>319</v>
      </c>
      <c r="F217" s="1" t="s">
        <v>16</v>
      </c>
      <c r="G217" s="1" t="n">
        <v>-22.4310459</v>
      </c>
      <c r="H217" s="1" t="n">
        <v>-49.5219241</v>
      </c>
      <c r="I217" s="1" t="n">
        <v>-22.4188119</v>
      </c>
      <c r="J217" s="1" t="n">
        <v>-49.4158972</v>
      </c>
      <c r="K217" s="1" t="n">
        <v>12.1</v>
      </c>
      <c r="L217" s="1" t="n">
        <v>13.7</v>
      </c>
      <c r="M217" s="1" t="s">
        <v>17</v>
      </c>
    </row>
    <row r="218" customFormat="false" ht="15" hidden="true" customHeight="false" outlineLevel="0" collapsed="false">
      <c r="A218" s="1" t="n">
        <v>0</v>
      </c>
      <c r="B218" s="1" t="n">
        <v>0</v>
      </c>
      <c r="C218" s="1" t="s">
        <v>103</v>
      </c>
      <c r="D218" s="1" t="s">
        <v>249</v>
      </c>
      <c r="E218" s="1" t="s">
        <v>320</v>
      </c>
      <c r="F218" s="1" t="s">
        <v>16</v>
      </c>
      <c r="G218" s="1" t="n">
        <v>-21.552463</v>
      </c>
      <c r="H218" s="1" t="n">
        <v>-47.7033894</v>
      </c>
      <c r="I218" s="1" t="n">
        <v>-21.3428894</v>
      </c>
      <c r="J218" s="1" t="n">
        <v>-47.728745</v>
      </c>
      <c r="K218" s="1" t="n">
        <v>34</v>
      </c>
      <c r="L218" s="1" t="n">
        <v>28.1</v>
      </c>
      <c r="M218" s="1" t="s">
        <v>17</v>
      </c>
    </row>
    <row r="219" customFormat="false" ht="15" hidden="true" customHeight="false" outlineLevel="0" collapsed="false">
      <c r="A219" s="1" t="n">
        <v>0</v>
      </c>
      <c r="B219" s="1" t="n">
        <v>0</v>
      </c>
      <c r="C219" s="1" t="s">
        <v>42</v>
      </c>
      <c r="D219" s="1" t="s">
        <v>43</v>
      </c>
      <c r="E219" s="1" t="s">
        <v>321</v>
      </c>
      <c r="F219" s="1" t="s">
        <v>16</v>
      </c>
      <c r="G219" s="1" t="n">
        <v>-21.6763356</v>
      </c>
      <c r="H219" s="1" t="n">
        <v>-50.3269863</v>
      </c>
      <c r="I219" s="1" t="n">
        <v>-21.4164035</v>
      </c>
      <c r="J219" s="1" t="n">
        <v>-50.0649111</v>
      </c>
      <c r="K219" s="1" t="n">
        <v>43.1</v>
      </c>
      <c r="L219" s="1" t="n">
        <v>47.5</v>
      </c>
      <c r="M219" s="1" t="s">
        <v>17</v>
      </c>
    </row>
    <row r="220" customFormat="false" ht="15" hidden="false" customHeight="false" outlineLevel="0" collapsed="false">
      <c r="A220" s="1" t="n">
        <v>0</v>
      </c>
      <c r="B220" s="1" t="n">
        <v>1</v>
      </c>
      <c r="C220" s="1" t="s">
        <v>49</v>
      </c>
      <c r="D220" s="1" t="s">
        <v>49</v>
      </c>
      <c r="E220" s="1" t="s">
        <v>322</v>
      </c>
      <c r="F220" s="1" t="s">
        <v>51</v>
      </c>
      <c r="G220" s="1" t="n">
        <v>-22.4145801</v>
      </c>
      <c r="H220" s="1" t="n">
        <v>-49.8183516</v>
      </c>
      <c r="I220" s="1" t="n">
        <v>-22.227114</v>
      </c>
      <c r="J220" s="1" t="n">
        <v>-49.9359818</v>
      </c>
      <c r="K220" s="1" t="n">
        <v>31.2</v>
      </c>
      <c r="L220" s="1" t="n">
        <v>29.3</v>
      </c>
      <c r="M220" s="1" t="s">
        <v>17</v>
      </c>
    </row>
    <row r="221" customFormat="false" ht="15" hidden="false" customHeight="false" outlineLevel="0" collapsed="false">
      <c r="A221" s="1" t="n">
        <v>0</v>
      </c>
      <c r="B221" s="1" t="n">
        <v>1</v>
      </c>
      <c r="C221" s="1" t="s">
        <v>49</v>
      </c>
      <c r="D221" s="1" t="s">
        <v>49</v>
      </c>
      <c r="E221" s="1" t="s">
        <v>322</v>
      </c>
      <c r="F221" s="1" t="s">
        <v>52</v>
      </c>
      <c r="G221" s="1" t="n">
        <v>-22.4145801</v>
      </c>
      <c r="H221" s="1" t="n">
        <v>-49.8183516</v>
      </c>
      <c r="I221" s="1" t="n">
        <v>-22.224027</v>
      </c>
      <c r="J221" s="1" t="n">
        <v>-49.9472085</v>
      </c>
      <c r="K221" s="1" t="n">
        <v>32.2</v>
      </c>
      <c r="L221" s="1" t="n">
        <v>28.9</v>
      </c>
      <c r="M221" s="1" t="s">
        <v>17</v>
      </c>
    </row>
    <row r="222" customFormat="false" ht="15" hidden="true" customHeight="false" outlineLevel="0" collapsed="false">
      <c r="A222" s="1" t="n">
        <v>0</v>
      </c>
      <c r="B222" s="1" t="n">
        <v>0</v>
      </c>
      <c r="C222" s="1" t="s">
        <v>112</v>
      </c>
      <c r="D222" s="1" t="s">
        <v>126</v>
      </c>
      <c r="E222" s="1" t="s">
        <v>323</v>
      </c>
      <c r="F222" s="1" t="s">
        <v>16</v>
      </c>
      <c r="G222" s="1" t="n">
        <v>-22.338378</v>
      </c>
      <c r="H222" s="1" t="n">
        <v>-50.394007</v>
      </c>
      <c r="I222" s="1" t="n">
        <v>-22.414331</v>
      </c>
      <c r="J222" s="1" t="n">
        <v>-50.579357</v>
      </c>
      <c r="K222" s="1" t="n">
        <v>23.3</v>
      </c>
      <c r="L222" s="1" t="n">
        <v>25.1</v>
      </c>
      <c r="M222" s="1" t="s">
        <v>17</v>
      </c>
    </row>
    <row r="223" customFormat="false" ht="15" hidden="true" customHeight="false" outlineLevel="0" collapsed="false">
      <c r="A223" s="1" t="n">
        <v>0</v>
      </c>
      <c r="B223" s="1" t="n">
        <v>0</v>
      </c>
      <c r="C223" s="1" t="s">
        <v>30</v>
      </c>
      <c r="D223" s="1" t="s">
        <v>131</v>
      </c>
      <c r="E223" s="1" t="s">
        <v>324</v>
      </c>
      <c r="F223" s="1" t="s">
        <v>16</v>
      </c>
      <c r="G223" s="1" t="n">
        <v>-22.50022</v>
      </c>
      <c r="H223" s="1" t="n">
        <v>-48.710229</v>
      </c>
      <c r="I223" s="1" t="n">
        <v>-22.6003054</v>
      </c>
      <c r="J223" s="1" t="n">
        <v>-48.7952479</v>
      </c>
      <c r="K223" s="1" t="n">
        <v>16.6</v>
      </c>
      <c r="L223" s="1" t="n">
        <v>19.3</v>
      </c>
      <c r="M223" s="1" t="s">
        <v>17</v>
      </c>
    </row>
    <row r="224" customFormat="false" ht="15" hidden="true" customHeight="false" outlineLevel="0" collapsed="false">
      <c r="A224" s="1" t="n">
        <v>0</v>
      </c>
      <c r="B224" s="1" t="n">
        <v>0</v>
      </c>
      <c r="C224" s="1" t="s">
        <v>13</v>
      </c>
      <c r="D224" s="1" t="s">
        <v>46</v>
      </c>
      <c r="E224" s="1" t="s">
        <v>325</v>
      </c>
      <c r="F224" s="1" t="s">
        <v>16</v>
      </c>
      <c r="G224" s="1" t="n">
        <v>-20.8071616</v>
      </c>
      <c r="H224" s="1" t="n">
        <v>-49.9648439</v>
      </c>
      <c r="I224" s="1" t="n">
        <v>-20.4262217</v>
      </c>
      <c r="J224" s="1" t="n">
        <v>-49.9787386</v>
      </c>
      <c r="K224" s="1" t="n">
        <v>56.7</v>
      </c>
      <c r="L224" s="1" t="n">
        <v>55</v>
      </c>
      <c r="M224" s="1" t="s">
        <v>17</v>
      </c>
    </row>
    <row r="225" customFormat="false" ht="15" hidden="true" customHeight="false" outlineLevel="0" collapsed="false">
      <c r="A225" s="1" t="n">
        <v>0</v>
      </c>
      <c r="B225" s="1" t="n">
        <v>0</v>
      </c>
      <c r="C225" s="1" t="s">
        <v>64</v>
      </c>
      <c r="D225" s="1" t="s">
        <v>219</v>
      </c>
      <c r="E225" s="1" t="s">
        <v>326</v>
      </c>
      <c r="F225" s="1" t="s">
        <v>16</v>
      </c>
      <c r="G225" s="1" t="n">
        <v>-20.1454034</v>
      </c>
      <c r="H225" s="1" t="n">
        <v>-50.193911</v>
      </c>
      <c r="I225" s="1" t="n">
        <v>-20.2956731</v>
      </c>
      <c r="J225" s="1" t="n">
        <v>-50.2471189</v>
      </c>
      <c r="K225" s="1" t="n">
        <v>20.1</v>
      </c>
      <c r="L225" s="1" t="n">
        <v>22.5</v>
      </c>
      <c r="M225" s="1" t="s">
        <v>17</v>
      </c>
    </row>
    <row r="226" customFormat="false" ht="15" hidden="true" customHeight="false" outlineLevel="0" collapsed="false">
      <c r="A226" s="1" t="n">
        <v>0</v>
      </c>
      <c r="B226" s="1" t="n">
        <v>0</v>
      </c>
      <c r="C226" s="1" t="s">
        <v>13</v>
      </c>
      <c r="D226" s="1" t="s">
        <v>46</v>
      </c>
      <c r="E226" s="1" t="s">
        <v>327</v>
      </c>
      <c r="F226" s="1" t="s">
        <v>16</v>
      </c>
      <c r="G226" s="1" t="n">
        <v>-20.6444651</v>
      </c>
      <c r="H226" s="1" t="n">
        <v>-50.2260983</v>
      </c>
      <c r="I226" s="1" t="n">
        <v>-20.4262217</v>
      </c>
      <c r="J226" s="1" t="n">
        <v>-49.9787386</v>
      </c>
      <c r="K226" s="1" t="n">
        <v>50.8</v>
      </c>
      <c r="L226" s="1" t="n">
        <v>44.8</v>
      </c>
      <c r="M226" s="1" t="s">
        <v>17</v>
      </c>
    </row>
    <row r="227" customFormat="false" ht="15" hidden="true" customHeight="false" outlineLevel="0" collapsed="false">
      <c r="A227" s="1" t="n">
        <v>0</v>
      </c>
      <c r="B227" s="1" t="n">
        <v>0</v>
      </c>
      <c r="C227" s="1" t="s">
        <v>34</v>
      </c>
      <c r="D227" s="1" t="s">
        <v>34</v>
      </c>
      <c r="E227" s="1" t="s">
        <v>328</v>
      </c>
      <c r="F227" s="1" t="s">
        <v>16</v>
      </c>
      <c r="G227" s="1" t="n">
        <v>-23.5401247</v>
      </c>
      <c r="H227" s="1" t="n">
        <v>-47.1846323</v>
      </c>
      <c r="I227" s="1" t="n">
        <v>-23.5178154</v>
      </c>
      <c r="J227" s="1" t="n">
        <v>-47.4531223</v>
      </c>
      <c r="K227" s="1" t="n">
        <v>33.5</v>
      </c>
      <c r="L227" s="1" t="n">
        <v>32.1</v>
      </c>
      <c r="M227" s="1" t="s">
        <v>17</v>
      </c>
    </row>
    <row r="228" customFormat="false" ht="15" hidden="true" customHeight="false" outlineLevel="0" collapsed="false">
      <c r="A228" s="1" t="n">
        <v>0</v>
      </c>
      <c r="B228" s="1" t="n">
        <v>0</v>
      </c>
      <c r="C228" s="1" t="s">
        <v>24</v>
      </c>
      <c r="D228" s="1" t="s">
        <v>25</v>
      </c>
      <c r="E228" s="1" t="s">
        <v>329</v>
      </c>
      <c r="F228" s="1" t="s">
        <v>16</v>
      </c>
      <c r="G228" s="1" t="n">
        <v>-23.0059018</v>
      </c>
      <c r="H228" s="1" t="n">
        <v>-49.317191</v>
      </c>
      <c r="I228" s="1" t="n">
        <v>-23.1036883</v>
      </c>
      <c r="J228" s="1" t="n">
        <v>-48.9287403</v>
      </c>
      <c r="K228" s="1" t="n">
        <v>44.3</v>
      </c>
      <c r="L228" s="1" t="n">
        <v>49.3</v>
      </c>
      <c r="M228" s="1" t="s">
        <v>17</v>
      </c>
    </row>
    <row r="229" customFormat="false" ht="15" hidden="true" customHeight="false" outlineLevel="0" collapsed="false">
      <c r="A229" s="1" t="n">
        <v>0</v>
      </c>
      <c r="B229" s="1" t="n">
        <v>0</v>
      </c>
      <c r="C229" s="1" t="s">
        <v>153</v>
      </c>
      <c r="D229" s="1" t="s">
        <v>153</v>
      </c>
      <c r="E229" s="1" t="s">
        <v>330</v>
      </c>
      <c r="F229" s="1" t="s">
        <v>16</v>
      </c>
      <c r="G229" s="1" t="n">
        <v>-22.1069936</v>
      </c>
      <c r="H229" s="1" t="n">
        <v>-51.9629504</v>
      </c>
      <c r="I229" s="1" t="n">
        <v>-21.8714290876156</v>
      </c>
      <c r="J229" s="1" t="n">
        <v>-51.841602703319</v>
      </c>
      <c r="K229" s="1" t="n">
        <v>34.2</v>
      </c>
      <c r="L229" s="1" t="n">
        <v>30.3</v>
      </c>
      <c r="M229" s="1" t="s">
        <v>17</v>
      </c>
    </row>
    <row r="230" customFormat="false" ht="15" hidden="true" customHeight="false" outlineLevel="0" collapsed="false">
      <c r="A230" s="1" t="n">
        <v>0</v>
      </c>
      <c r="B230" s="1" t="n">
        <v>0</v>
      </c>
      <c r="C230" s="1" t="s">
        <v>112</v>
      </c>
      <c r="D230" s="1" t="s">
        <v>126</v>
      </c>
      <c r="E230" s="1" t="s">
        <v>331</v>
      </c>
      <c r="F230" s="1" t="s">
        <v>16</v>
      </c>
      <c r="G230" s="1" t="n">
        <v>-22.6112679</v>
      </c>
      <c r="H230" s="1" t="n">
        <v>-50.6670685</v>
      </c>
      <c r="I230" s="1" t="n">
        <v>-22.414331</v>
      </c>
      <c r="J230" s="1" t="n">
        <v>-50.579357</v>
      </c>
      <c r="K230" s="1" t="n">
        <v>28.3</v>
      </c>
      <c r="L230" s="1" t="n">
        <v>32.6</v>
      </c>
      <c r="M230" s="1" t="s">
        <v>17</v>
      </c>
    </row>
    <row r="231" customFormat="false" ht="15" hidden="true" customHeight="false" outlineLevel="0" collapsed="false">
      <c r="A231" s="1" t="n">
        <v>0</v>
      </c>
      <c r="B231" s="1" t="n">
        <v>0</v>
      </c>
      <c r="C231" s="1" t="s">
        <v>13</v>
      </c>
      <c r="D231" s="1" t="s">
        <v>80</v>
      </c>
      <c r="E231" s="1" t="s">
        <v>332</v>
      </c>
      <c r="F231" s="1" t="s">
        <v>16</v>
      </c>
      <c r="G231" s="1" t="n">
        <v>-21.2574769</v>
      </c>
      <c r="H231" s="1" t="n">
        <v>-49.1314719</v>
      </c>
      <c r="I231" s="1" t="n">
        <v>-21.1407509</v>
      </c>
      <c r="J231" s="1" t="n">
        <v>-48.9754937</v>
      </c>
      <c r="K231" s="1" t="n">
        <v>28.3</v>
      </c>
      <c r="L231" s="1" t="n">
        <v>31.6</v>
      </c>
      <c r="M231" s="1" t="s">
        <v>17</v>
      </c>
    </row>
    <row r="232" customFormat="false" ht="15" hidden="true" customHeight="false" outlineLevel="0" collapsed="false">
      <c r="A232" s="1" t="n">
        <v>0</v>
      </c>
      <c r="B232" s="1" t="n">
        <v>0</v>
      </c>
      <c r="C232" s="1" t="s">
        <v>49</v>
      </c>
      <c r="D232" s="1" t="s">
        <v>228</v>
      </c>
      <c r="E232" s="1" t="s">
        <v>333</v>
      </c>
      <c r="F232" s="1" t="s">
        <v>16</v>
      </c>
      <c r="G232" s="1" t="n">
        <v>-21.7966708</v>
      </c>
      <c r="H232" s="1" t="n">
        <v>-51.1831475</v>
      </c>
      <c r="I232" s="1" t="n">
        <v>-21.6926132757716</v>
      </c>
      <c r="J232" s="1" t="n">
        <v>-51.0706469456515</v>
      </c>
      <c r="K232" s="1" t="n">
        <v>21.2</v>
      </c>
      <c r="L232" s="1" t="n">
        <v>22.3</v>
      </c>
      <c r="M232" s="1" t="s">
        <v>17</v>
      </c>
    </row>
    <row r="233" customFormat="false" ht="15" hidden="true" customHeight="false" outlineLevel="0" collapsed="false">
      <c r="A233" s="1" t="n">
        <v>0</v>
      </c>
      <c r="B233" s="1" t="n">
        <v>0</v>
      </c>
      <c r="C233" s="1" t="s">
        <v>64</v>
      </c>
      <c r="D233" s="1" t="s">
        <v>64</v>
      </c>
      <c r="E233" s="1" t="s">
        <v>334</v>
      </c>
      <c r="F233" s="1" t="s">
        <v>16</v>
      </c>
      <c r="G233" s="1" t="n">
        <v>-20.4408333</v>
      </c>
      <c r="H233" s="1" t="n">
        <v>-50.8227778</v>
      </c>
      <c r="I233" s="1" t="n">
        <v>-20.2667765</v>
      </c>
      <c r="J233" s="1" t="n">
        <v>-50.5425068</v>
      </c>
      <c r="K233" s="1" t="n">
        <v>38.1</v>
      </c>
      <c r="L233" s="1" t="n">
        <v>38.5</v>
      </c>
      <c r="M233" s="1" t="s">
        <v>17</v>
      </c>
    </row>
    <row r="234" customFormat="false" ht="15" hidden="true" customHeight="false" outlineLevel="0" collapsed="false">
      <c r="A234" s="1" t="n">
        <v>0</v>
      </c>
      <c r="B234" s="1" t="n">
        <v>0</v>
      </c>
      <c r="C234" s="1" t="s">
        <v>195</v>
      </c>
      <c r="D234" s="1" t="s">
        <v>196</v>
      </c>
      <c r="E234" s="1" t="s">
        <v>335</v>
      </c>
      <c r="F234" s="1" t="s">
        <v>16</v>
      </c>
      <c r="G234" s="1" t="n">
        <v>-23.6669527</v>
      </c>
      <c r="H234" s="1" t="n">
        <v>-46.4616922</v>
      </c>
      <c r="I234" s="1" t="n">
        <v>-23.7130909</v>
      </c>
      <c r="J234" s="1" t="n">
        <v>-46.5577531</v>
      </c>
      <c r="K234" s="1" t="n">
        <v>16.6</v>
      </c>
      <c r="L234" s="1" t="n">
        <v>24.8</v>
      </c>
      <c r="M234" s="1" t="s">
        <v>17</v>
      </c>
    </row>
    <row r="235" customFormat="false" ht="15" hidden="true" customHeight="false" outlineLevel="0" collapsed="false">
      <c r="A235" s="1" t="n">
        <v>0</v>
      </c>
      <c r="B235" s="1" t="n">
        <v>0</v>
      </c>
      <c r="C235" s="1" t="s">
        <v>13</v>
      </c>
      <c r="D235" s="1" t="s">
        <v>14</v>
      </c>
      <c r="E235" s="1" t="s">
        <v>336</v>
      </c>
      <c r="F235" s="1" t="s">
        <v>16</v>
      </c>
      <c r="G235" s="1" t="n">
        <v>-21.1838813</v>
      </c>
      <c r="H235" s="1" t="n">
        <v>-49.579059</v>
      </c>
      <c r="I235" s="1" t="n">
        <v>-21.0529053</v>
      </c>
      <c r="J235" s="1" t="n">
        <v>-49.6891417</v>
      </c>
      <c r="K235" s="1" t="n">
        <v>22.7</v>
      </c>
      <c r="L235" s="1" t="n">
        <v>22.1</v>
      </c>
      <c r="M235" s="1" t="s">
        <v>17</v>
      </c>
    </row>
    <row r="236" customFormat="false" ht="15" hidden="true" customHeight="false" outlineLevel="0" collapsed="false">
      <c r="A236" s="1" t="n">
        <v>0</v>
      </c>
      <c r="B236" s="1" t="n">
        <v>0</v>
      </c>
      <c r="C236" s="1" t="s">
        <v>64</v>
      </c>
      <c r="D236" s="1" t="s">
        <v>219</v>
      </c>
      <c r="E236" s="1" t="s">
        <v>337</v>
      </c>
      <c r="F236" s="1" t="s">
        <v>16</v>
      </c>
      <c r="G236" s="1" t="n">
        <v>-20.3547223</v>
      </c>
      <c r="H236" s="1" t="n">
        <v>-50.172574</v>
      </c>
      <c r="I236" s="1" t="n">
        <v>-20.2956731</v>
      </c>
      <c r="J236" s="1" t="n">
        <v>-50.2471189</v>
      </c>
      <c r="K236" s="1" t="n">
        <v>17.3</v>
      </c>
      <c r="L236" s="1" t="n">
        <v>17.5</v>
      </c>
      <c r="M236" s="1" t="s">
        <v>17</v>
      </c>
    </row>
    <row r="237" customFormat="false" ht="15" hidden="true" customHeight="false" outlineLevel="0" collapsed="false">
      <c r="A237" s="1" t="n">
        <v>0</v>
      </c>
      <c r="B237" s="1" t="n">
        <v>0</v>
      </c>
      <c r="C237" s="1" t="s">
        <v>64</v>
      </c>
      <c r="D237" s="1" t="s">
        <v>64</v>
      </c>
      <c r="E237" s="1" t="s">
        <v>338</v>
      </c>
      <c r="F237" s="1" t="s">
        <v>16</v>
      </c>
      <c r="G237" s="1" t="n">
        <v>-19.9662274</v>
      </c>
      <c r="H237" s="1" t="n">
        <v>-50.6190438</v>
      </c>
      <c r="I237" s="1" t="n">
        <v>-20.2667765</v>
      </c>
      <c r="J237" s="1" t="n">
        <v>-50.5425068</v>
      </c>
      <c r="K237" s="1" t="n">
        <v>41.1</v>
      </c>
      <c r="L237" s="1" t="n">
        <v>41.8</v>
      </c>
      <c r="M237" s="1" t="s">
        <v>17</v>
      </c>
    </row>
    <row r="238" customFormat="false" ht="15" hidden="true" customHeight="false" outlineLevel="0" collapsed="false">
      <c r="A238" s="1" t="n">
        <v>0</v>
      </c>
      <c r="B238" s="1" t="n">
        <v>0</v>
      </c>
      <c r="C238" s="1" t="s">
        <v>68</v>
      </c>
      <c r="D238" s="1" t="s">
        <v>139</v>
      </c>
      <c r="E238" s="1" t="s">
        <v>339</v>
      </c>
      <c r="F238" s="1" t="s">
        <v>16</v>
      </c>
      <c r="G238" s="1" t="n">
        <v>-20.179612</v>
      </c>
      <c r="H238" s="1" t="n">
        <v>-48.030997</v>
      </c>
      <c r="I238" s="1" t="n">
        <v>-20.3365676196353</v>
      </c>
      <c r="J238" s="1" t="n">
        <v>-47.7881778744425</v>
      </c>
      <c r="K238" s="1" t="n">
        <v>34.1</v>
      </c>
      <c r="L238" s="1" t="n">
        <v>34.3</v>
      </c>
      <c r="M238" s="1" t="s">
        <v>17</v>
      </c>
    </row>
    <row r="239" customFormat="false" ht="15" hidden="true" customHeight="false" outlineLevel="0" collapsed="false">
      <c r="A239" s="1" t="n">
        <v>0</v>
      </c>
      <c r="B239" s="1" t="n">
        <v>0</v>
      </c>
      <c r="C239" s="1" t="s">
        <v>30</v>
      </c>
      <c r="D239" s="1" t="s">
        <v>97</v>
      </c>
      <c r="E239" s="1" t="s">
        <v>340</v>
      </c>
      <c r="F239" s="1" t="s">
        <v>16</v>
      </c>
      <c r="G239" s="1" t="n">
        <v>-22.4133188</v>
      </c>
      <c r="H239" s="1" t="n">
        <v>-48.450554</v>
      </c>
      <c r="I239" s="1" t="n">
        <v>-22.293224</v>
      </c>
      <c r="J239" s="1" t="n">
        <v>-48.5608001</v>
      </c>
      <c r="K239" s="1" t="n">
        <v>22.4</v>
      </c>
      <c r="L239" s="1" t="n">
        <v>22</v>
      </c>
      <c r="M239" s="1" t="s">
        <v>17</v>
      </c>
    </row>
    <row r="240" customFormat="false" ht="15" hidden="true" customHeight="false" outlineLevel="0" collapsed="false">
      <c r="A240" s="1" t="n">
        <v>0</v>
      </c>
      <c r="B240" s="1" t="n">
        <v>0</v>
      </c>
      <c r="C240" s="1" t="s">
        <v>64</v>
      </c>
      <c r="D240" s="1" t="s">
        <v>270</v>
      </c>
      <c r="E240" s="1" t="s">
        <v>341</v>
      </c>
      <c r="F240" s="1" t="s">
        <v>16</v>
      </c>
      <c r="G240" s="1" t="n">
        <v>-19.9806298</v>
      </c>
      <c r="H240" s="1" t="n">
        <v>-50.136873</v>
      </c>
      <c r="I240" s="1" t="n">
        <v>-20.0046951</v>
      </c>
      <c r="J240" s="1" t="n">
        <v>-50.3707862</v>
      </c>
      <c r="K240" s="1" t="n">
        <v>26.1</v>
      </c>
      <c r="L240" s="1" t="n">
        <v>27.5</v>
      </c>
      <c r="M240" s="1" t="s">
        <v>17</v>
      </c>
    </row>
    <row r="241" customFormat="false" ht="15" hidden="true" customHeight="false" outlineLevel="0" collapsed="false">
      <c r="A241" s="1" t="n">
        <v>0</v>
      </c>
      <c r="B241" s="1" t="n">
        <v>0</v>
      </c>
      <c r="C241" s="1" t="s">
        <v>27</v>
      </c>
      <c r="D241" s="1" t="s">
        <v>209</v>
      </c>
      <c r="E241" s="1" t="s">
        <v>342</v>
      </c>
      <c r="F241" s="1" t="s">
        <v>16</v>
      </c>
      <c r="G241" s="1" t="n">
        <v>-22.9293093</v>
      </c>
      <c r="H241" s="1" t="n">
        <v>-47.5650724</v>
      </c>
      <c r="I241" s="1" t="n">
        <v>-22.9985529583081</v>
      </c>
      <c r="J241" s="1" t="n">
        <v>-47.4929512050703</v>
      </c>
      <c r="K241" s="1" t="n">
        <v>12.7</v>
      </c>
      <c r="L241" s="1" t="n">
        <v>14.1</v>
      </c>
      <c r="M241" s="1" t="s">
        <v>17</v>
      </c>
    </row>
    <row r="242" customFormat="false" ht="15" hidden="true" customHeight="false" outlineLevel="0" collapsed="false">
      <c r="A242" s="1" t="n">
        <v>0</v>
      </c>
      <c r="B242" s="1" t="n">
        <v>0</v>
      </c>
      <c r="C242" s="1" t="s">
        <v>13</v>
      </c>
      <c r="D242" s="1" t="s">
        <v>46</v>
      </c>
      <c r="E242" s="1" t="s">
        <v>343</v>
      </c>
      <c r="F242" s="1" t="s">
        <v>16</v>
      </c>
      <c r="G242" s="1" t="n">
        <v>-20.850949</v>
      </c>
      <c r="H242" s="1" t="n">
        <v>-50.097537</v>
      </c>
      <c r="I242" s="1" t="n">
        <v>-20.4262217</v>
      </c>
      <c r="J242" s="1" t="n">
        <v>-49.9787386</v>
      </c>
      <c r="K242" s="1" t="n">
        <v>51.5</v>
      </c>
      <c r="L242" s="1" t="n">
        <v>48.5</v>
      </c>
      <c r="M242" s="1" t="s">
        <v>17</v>
      </c>
    </row>
    <row r="243" customFormat="false" ht="15" hidden="true" customHeight="false" outlineLevel="0" collapsed="false">
      <c r="A243" s="1" t="n">
        <v>0</v>
      </c>
      <c r="B243" s="1" t="n">
        <v>0</v>
      </c>
      <c r="C243" s="1" t="s">
        <v>82</v>
      </c>
      <c r="D243" s="1" t="s">
        <v>344</v>
      </c>
      <c r="E243" s="1" t="s">
        <v>345</v>
      </c>
      <c r="F243" s="1" t="s">
        <v>16</v>
      </c>
      <c r="G243" s="1" t="n">
        <v>-22.681861</v>
      </c>
      <c r="H243" s="1" t="n">
        <v>-46.6798783</v>
      </c>
      <c r="I243" s="1" t="n">
        <v>-22.6977574</v>
      </c>
      <c r="J243" s="1" t="n">
        <v>-46.7686754</v>
      </c>
      <c r="K243" s="1" t="n">
        <v>13.5</v>
      </c>
      <c r="L243" s="1" t="n">
        <v>15.6</v>
      </c>
      <c r="M243" s="1" t="s">
        <v>17</v>
      </c>
    </row>
    <row r="244" customFormat="false" ht="15" hidden="true" customHeight="false" outlineLevel="0" collapsed="false">
      <c r="A244" s="1" t="n">
        <v>0</v>
      </c>
      <c r="B244" s="1" t="n">
        <v>0</v>
      </c>
      <c r="C244" s="1" t="s">
        <v>13</v>
      </c>
      <c r="D244" s="1" t="s">
        <v>92</v>
      </c>
      <c r="E244" s="1" t="s">
        <v>346</v>
      </c>
      <c r="F244" s="1" t="s">
        <v>16</v>
      </c>
      <c r="G244" s="1" t="n">
        <v>-20.7625702</v>
      </c>
      <c r="H244" s="1" t="n">
        <v>-49.7088402</v>
      </c>
      <c r="I244" s="1" t="n">
        <v>-20.6278349</v>
      </c>
      <c r="J244" s="1" t="n">
        <v>-49.6518627</v>
      </c>
      <c r="K244" s="1" t="n">
        <v>17.2</v>
      </c>
      <c r="L244" s="1" t="n">
        <v>19.7</v>
      </c>
      <c r="M244" s="1" t="s">
        <v>17</v>
      </c>
    </row>
    <row r="245" customFormat="false" ht="15" hidden="true" customHeight="false" outlineLevel="0" collapsed="false">
      <c r="A245" s="1" t="n">
        <v>0</v>
      </c>
      <c r="B245" s="1" t="n">
        <v>0</v>
      </c>
      <c r="C245" s="1" t="s">
        <v>39</v>
      </c>
      <c r="D245" s="1" t="s">
        <v>347</v>
      </c>
      <c r="E245" s="1" t="s">
        <v>348</v>
      </c>
      <c r="F245" s="1" t="s">
        <v>16</v>
      </c>
      <c r="G245" s="1" t="n">
        <v>-20.90649</v>
      </c>
      <c r="H245" s="1" t="n">
        <v>-48.638717</v>
      </c>
      <c r="I245" s="1" t="n">
        <v>-20.944913</v>
      </c>
      <c r="J245" s="1" t="n">
        <v>-48.4867109</v>
      </c>
      <c r="K245" s="1" t="n">
        <v>18.6</v>
      </c>
      <c r="L245" s="1" t="n">
        <v>17.9</v>
      </c>
      <c r="M245" s="1" t="s">
        <v>17</v>
      </c>
    </row>
    <row r="246" customFormat="false" ht="15" hidden="true" customHeight="false" outlineLevel="0" collapsed="false">
      <c r="A246" s="1" t="n">
        <v>0</v>
      </c>
      <c r="B246" s="1" t="n">
        <v>0</v>
      </c>
      <c r="C246" s="1" t="s">
        <v>153</v>
      </c>
      <c r="D246" s="1" t="s">
        <v>349</v>
      </c>
      <c r="E246" s="1" t="s">
        <v>350</v>
      </c>
      <c r="F246" s="1" t="s">
        <v>16</v>
      </c>
      <c r="G246" s="1" t="n">
        <v>-21.3006353</v>
      </c>
      <c r="H246" s="1" t="n">
        <v>-51.5686963</v>
      </c>
      <c r="I246" s="1" t="n">
        <v>-21.3888918</v>
      </c>
      <c r="J246" s="1" t="n">
        <v>-51.5690936</v>
      </c>
      <c r="K246" s="1" t="n">
        <v>11.4</v>
      </c>
      <c r="L246" s="1" t="n">
        <v>13.3</v>
      </c>
      <c r="M246" s="1" t="s">
        <v>17</v>
      </c>
    </row>
    <row r="247" customFormat="false" ht="15" hidden="true" customHeight="false" outlineLevel="0" collapsed="false">
      <c r="A247" s="1" t="n">
        <v>0</v>
      </c>
      <c r="B247" s="1" t="n">
        <v>0</v>
      </c>
      <c r="C247" s="1" t="s">
        <v>82</v>
      </c>
      <c r="D247" s="1" t="s">
        <v>351</v>
      </c>
      <c r="E247" s="1" t="s">
        <v>352</v>
      </c>
      <c r="F247" s="1" t="s">
        <v>16</v>
      </c>
      <c r="G247" s="1" t="n">
        <v>-22.945043</v>
      </c>
      <c r="H247" s="1" t="n">
        <v>-47.312182</v>
      </c>
      <c r="I247" s="1" t="n">
        <v>-23.0930125</v>
      </c>
      <c r="J247" s="1" t="n">
        <v>-47.2127211</v>
      </c>
      <c r="K247" s="1" t="n">
        <v>25</v>
      </c>
      <c r="L247" s="1" t="n">
        <v>26.1</v>
      </c>
      <c r="M247" s="1" t="s">
        <v>17</v>
      </c>
    </row>
    <row r="248" customFormat="false" ht="15" hidden="true" customHeight="false" outlineLevel="0" collapsed="false">
      <c r="A248" s="1" t="n">
        <v>0</v>
      </c>
      <c r="B248" s="1" t="n">
        <v>0</v>
      </c>
      <c r="C248" s="1" t="s">
        <v>82</v>
      </c>
      <c r="D248" s="1" t="s">
        <v>353</v>
      </c>
      <c r="E248" s="1" t="s">
        <v>354</v>
      </c>
      <c r="F248" s="1" t="s">
        <v>16</v>
      </c>
      <c r="G248" s="1" t="n">
        <v>-22.88</v>
      </c>
      <c r="H248" s="1" t="n">
        <v>-46.79167</v>
      </c>
      <c r="I248" s="1" t="n">
        <v>-23.0070339</v>
      </c>
      <c r="J248" s="1" t="n">
        <v>-46.8327166</v>
      </c>
      <c r="K248" s="1" t="n">
        <v>20.6</v>
      </c>
      <c r="L248" s="1" t="n">
        <v>25.4</v>
      </c>
      <c r="M248" s="1" t="s">
        <v>17</v>
      </c>
    </row>
    <row r="249" customFormat="false" ht="15" hidden="true" customHeight="false" outlineLevel="0" collapsed="false">
      <c r="A249" s="1" t="n">
        <v>0</v>
      </c>
      <c r="B249" s="1" t="n">
        <v>0</v>
      </c>
      <c r="C249" s="1" t="s">
        <v>54</v>
      </c>
      <c r="D249" s="1" t="s">
        <v>54</v>
      </c>
      <c r="E249" s="1" t="s">
        <v>355</v>
      </c>
      <c r="F249" s="1" t="s">
        <v>16</v>
      </c>
      <c r="G249" s="1" t="n">
        <v>-21.5095864</v>
      </c>
      <c r="H249" s="1" t="n">
        <v>-48.1503832</v>
      </c>
      <c r="I249" s="1" t="n">
        <v>-21.8050425399424</v>
      </c>
      <c r="J249" s="1" t="n">
        <v>-48.1712910931619</v>
      </c>
      <c r="K249" s="1" t="n">
        <v>41.8</v>
      </c>
      <c r="L249" s="1" t="n">
        <v>48.1</v>
      </c>
      <c r="M249" s="1" t="s">
        <v>17</v>
      </c>
    </row>
    <row r="250" customFormat="false" ht="15" hidden="true" customHeight="false" outlineLevel="0" collapsed="false">
      <c r="A250" s="1" t="n">
        <v>0</v>
      </c>
      <c r="B250" s="1" t="n">
        <v>0</v>
      </c>
      <c r="C250" s="1" t="s">
        <v>42</v>
      </c>
      <c r="D250" s="1" t="s">
        <v>311</v>
      </c>
      <c r="E250" s="1" t="s">
        <v>356</v>
      </c>
      <c r="F250" s="1" t="s">
        <v>16</v>
      </c>
      <c r="G250" s="1" t="n">
        <v>-20.9913722</v>
      </c>
      <c r="H250" s="1" t="n">
        <v>-51.2782237</v>
      </c>
      <c r="I250" s="1" t="n">
        <v>-21.124914</v>
      </c>
      <c r="J250" s="1" t="n">
        <v>-51.1033197</v>
      </c>
      <c r="K250" s="1" t="n">
        <v>34.3</v>
      </c>
      <c r="L250" s="1" t="n">
        <v>28.7</v>
      </c>
      <c r="M250" s="1" t="s">
        <v>17</v>
      </c>
    </row>
    <row r="251" customFormat="false" ht="15" hidden="true" customHeight="false" outlineLevel="0" collapsed="false">
      <c r="A251" s="1" t="n">
        <v>0</v>
      </c>
      <c r="B251" s="1" t="n">
        <v>0</v>
      </c>
      <c r="C251" s="1" t="s">
        <v>18</v>
      </c>
      <c r="D251" s="1" t="s">
        <v>19</v>
      </c>
      <c r="E251" s="1" t="s">
        <v>357</v>
      </c>
      <c r="F251" s="1" t="s">
        <v>16</v>
      </c>
      <c r="G251" s="1" t="n">
        <v>-22.6191472</v>
      </c>
      <c r="H251" s="1" t="n">
        <v>-51.2382255</v>
      </c>
      <c r="I251" s="1" t="n">
        <v>-22.6601033</v>
      </c>
      <c r="J251" s="1" t="n">
        <v>-51.0790603</v>
      </c>
      <c r="K251" s="1" t="n">
        <v>21.2</v>
      </c>
      <c r="L251" s="1" t="n">
        <v>20.2</v>
      </c>
      <c r="M251" s="1" t="s">
        <v>17</v>
      </c>
    </row>
    <row r="252" customFormat="false" ht="15" hidden="true" customHeight="false" outlineLevel="0" collapsed="false">
      <c r="A252" s="1" t="n">
        <v>0</v>
      </c>
      <c r="B252" s="1" t="n">
        <v>0</v>
      </c>
      <c r="C252" s="1" t="s">
        <v>18</v>
      </c>
      <c r="D252" s="1" t="s">
        <v>221</v>
      </c>
      <c r="E252" s="1" t="s">
        <v>358</v>
      </c>
      <c r="F252" s="1" t="s">
        <v>16</v>
      </c>
      <c r="G252" s="1" t="n">
        <v>-22.4080573</v>
      </c>
      <c r="H252" s="1" t="n">
        <v>-51.5251755</v>
      </c>
      <c r="I252" s="1" t="n">
        <v>-22.2758152</v>
      </c>
      <c r="J252" s="1" t="n">
        <v>-51.4940169</v>
      </c>
      <c r="K252" s="1" t="n">
        <v>16.6</v>
      </c>
      <c r="L252" s="1" t="n">
        <v>19</v>
      </c>
      <c r="M252" s="1" t="s">
        <v>17</v>
      </c>
    </row>
    <row r="253" customFormat="false" ht="15" hidden="true" customHeight="false" outlineLevel="0" collapsed="false">
      <c r="A253" s="1" t="n">
        <v>0</v>
      </c>
      <c r="B253" s="1" t="n">
        <v>1</v>
      </c>
      <c r="C253" s="1" t="s">
        <v>61</v>
      </c>
      <c r="D253" s="1" t="s">
        <v>61</v>
      </c>
      <c r="E253" s="1" t="s">
        <v>359</v>
      </c>
      <c r="F253" s="1" t="s">
        <v>16</v>
      </c>
      <c r="G253" s="1" t="n">
        <v>-23.3783786</v>
      </c>
      <c r="H253" s="1" t="n">
        <v>-45.4438173</v>
      </c>
      <c r="I253" s="1" t="n">
        <v>-23.0300597</v>
      </c>
      <c r="J253" s="1" t="n">
        <v>-45.5673225</v>
      </c>
      <c r="K253" s="1" t="n">
        <v>57.9</v>
      </c>
      <c r="L253" s="1" t="n">
        <v>63.7</v>
      </c>
      <c r="M253" s="1" t="s">
        <v>17</v>
      </c>
    </row>
    <row r="254" customFormat="false" ht="15" hidden="true" customHeight="false" outlineLevel="0" collapsed="false">
      <c r="A254" s="1" t="n">
        <v>0</v>
      </c>
      <c r="B254" s="1" t="n">
        <v>0</v>
      </c>
      <c r="C254" s="1" t="s">
        <v>82</v>
      </c>
      <c r="D254" s="1" t="s">
        <v>123</v>
      </c>
      <c r="E254" s="1" t="s">
        <v>360</v>
      </c>
      <c r="F254" s="1" t="s">
        <v>16</v>
      </c>
      <c r="G254" s="1" t="n">
        <v>-23.1819309</v>
      </c>
      <c r="H254" s="1" t="n">
        <v>-46.3992986</v>
      </c>
      <c r="I254" s="1" t="n">
        <v>-23.1148518</v>
      </c>
      <c r="J254" s="1" t="n">
        <v>-46.5506405</v>
      </c>
      <c r="K254" s="1" t="n">
        <v>22.2</v>
      </c>
      <c r="L254" s="1" t="n">
        <v>20.8</v>
      </c>
      <c r="M254" s="1" t="s">
        <v>17</v>
      </c>
    </row>
    <row r="255" customFormat="false" ht="15" hidden="true" customHeight="false" outlineLevel="0" collapsed="false">
      <c r="A255" s="1" t="n">
        <v>0</v>
      </c>
      <c r="B255" s="1" t="n">
        <v>0</v>
      </c>
      <c r="C255" s="1" t="s">
        <v>13</v>
      </c>
      <c r="D255" s="1" t="s">
        <v>46</v>
      </c>
      <c r="E255" s="1" t="s">
        <v>361</v>
      </c>
      <c r="F255" s="1" t="s">
        <v>16</v>
      </c>
      <c r="G255" s="1" t="n">
        <v>-20.6943324</v>
      </c>
      <c r="H255" s="1" t="n">
        <v>-50.0406028</v>
      </c>
      <c r="I255" s="1" t="n">
        <v>-20.4262217</v>
      </c>
      <c r="J255" s="1" t="n">
        <v>-49.9787386</v>
      </c>
      <c r="K255" s="1" t="n">
        <v>34.2</v>
      </c>
      <c r="L255" s="1" t="n">
        <v>33.5</v>
      </c>
      <c r="M255" s="1" t="s">
        <v>17</v>
      </c>
    </row>
    <row r="256" customFormat="false" ht="15" hidden="true" customHeight="false" outlineLevel="0" collapsed="false">
      <c r="A256" s="1" t="n">
        <v>0</v>
      </c>
      <c r="B256" s="1" t="n">
        <v>0</v>
      </c>
      <c r="C256" s="1" t="s">
        <v>13</v>
      </c>
      <c r="D256" s="1" t="s">
        <v>14</v>
      </c>
      <c r="E256" s="1" t="s">
        <v>362</v>
      </c>
      <c r="F256" s="1" t="s">
        <v>16</v>
      </c>
      <c r="G256" s="1" t="n">
        <v>-20.9126469</v>
      </c>
      <c r="H256" s="1" t="n">
        <v>-49.7791476</v>
      </c>
      <c r="I256" s="1" t="n">
        <v>-21.0529053</v>
      </c>
      <c r="J256" s="1" t="n">
        <v>-49.6891417</v>
      </c>
      <c r="K256" s="1" t="n">
        <v>20.1</v>
      </c>
      <c r="L256" s="1" t="n">
        <v>22.8</v>
      </c>
      <c r="M256" s="1" t="s">
        <v>17</v>
      </c>
    </row>
    <row r="257" customFormat="false" ht="15" hidden="true" customHeight="false" outlineLevel="0" collapsed="false">
      <c r="A257" s="1" t="n">
        <v>0</v>
      </c>
      <c r="B257" s="1" t="n">
        <v>0</v>
      </c>
      <c r="C257" s="1" t="s">
        <v>100</v>
      </c>
      <c r="D257" s="1" t="s">
        <v>100</v>
      </c>
      <c r="E257" s="1" t="s">
        <v>363</v>
      </c>
      <c r="F257" s="1" t="s">
        <v>16</v>
      </c>
      <c r="G257" s="1" t="n">
        <v>-24.1225305</v>
      </c>
      <c r="H257" s="1" t="n">
        <v>-48.9054041</v>
      </c>
      <c r="I257" s="1" t="n">
        <v>-23.9886708</v>
      </c>
      <c r="J257" s="1" t="n">
        <v>-48.8771605</v>
      </c>
      <c r="K257" s="1" t="n">
        <v>21.1</v>
      </c>
      <c r="L257" s="1" t="n">
        <v>25.5</v>
      </c>
      <c r="M257" s="1" t="s">
        <v>17</v>
      </c>
    </row>
    <row r="258" customFormat="false" ht="15" hidden="true" customHeight="false" outlineLevel="0" collapsed="false">
      <c r="A258" s="1" t="n">
        <v>0</v>
      </c>
      <c r="B258" s="1" t="n">
        <v>0</v>
      </c>
      <c r="C258" s="1" t="s">
        <v>64</v>
      </c>
      <c r="D258" s="1" t="s">
        <v>364</v>
      </c>
      <c r="E258" s="1" t="s">
        <v>365</v>
      </c>
      <c r="F258" s="1" t="s">
        <v>16</v>
      </c>
      <c r="G258" s="1" t="n">
        <v>-20.3872473</v>
      </c>
      <c r="H258" s="1" t="n">
        <v>-50.9481571</v>
      </c>
      <c r="I258" s="1" t="n">
        <v>-20.2143637079368</v>
      </c>
      <c r="J258" s="1" t="n">
        <v>-50.9283364543431</v>
      </c>
      <c r="K258" s="1" t="n">
        <v>24.6</v>
      </c>
      <c r="L258" s="1" t="n">
        <v>26.2</v>
      </c>
      <c r="M258" s="1" t="s">
        <v>17</v>
      </c>
    </row>
    <row r="259" customFormat="false" ht="15" hidden="true" customHeight="false" outlineLevel="0" collapsed="false">
      <c r="A259" s="1" t="n">
        <v>0</v>
      </c>
      <c r="B259" s="1" t="n">
        <v>0</v>
      </c>
      <c r="C259" s="1" t="s">
        <v>42</v>
      </c>
      <c r="D259" s="1" t="s">
        <v>251</v>
      </c>
      <c r="E259" s="1" t="s">
        <v>366</v>
      </c>
      <c r="F259" s="1" t="s">
        <v>16</v>
      </c>
      <c r="G259" s="1" t="n">
        <v>-20.7638386</v>
      </c>
      <c r="H259" s="1" t="n">
        <v>-50.3427479</v>
      </c>
      <c r="I259" s="1" t="n">
        <v>-20.685037022635</v>
      </c>
      <c r="J259" s="1" t="n">
        <v>-50.554985601498</v>
      </c>
      <c r="K259" s="1" t="n">
        <v>28.5</v>
      </c>
      <c r="L259" s="1" t="n">
        <v>35.8</v>
      </c>
      <c r="M259" s="1" t="s">
        <v>17</v>
      </c>
    </row>
    <row r="260" customFormat="false" ht="15" hidden="true" customHeight="false" outlineLevel="0" collapsed="false">
      <c r="A260" s="1" t="n">
        <v>0</v>
      </c>
      <c r="B260" s="1" t="n">
        <v>0</v>
      </c>
      <c r="C260" s="1" t="s">
        <v>54</v>
      </c>
      <c r="D260" s="1" t="s">
        <v>129</v>
      </c>
      <c r="E260" s="1" t="s">
        <v>367</v>
      </c>
      <c r="F260" s="1" t="s">
        <v>16</v>
      </c>
      <c r="G260" s="1" t="n">
        <v>-21.7808203</v>
      </c>
      <c r="H260" s="1" t="n">
        <v>-48.5661712</v>
      </c>
      <c r="I260" s="1" t="n">
        <v>-21.7546344</v>
      </c>
      <c r="J260" s="1" t="n">
        <v>-48.8285504</v>
      </c>
      <c r="K260" s="1" t="n">
        <v>34.5</v>
      </c>
      <c r="L260" s="1" t="n">
        <v>36.3</v>
      </c>
      <c r="M260" s="1" t="s">
        <v>17</v>
      </c>
    </row>
    <row r="261" customFormat="false" ht="15" hidden="true" customHeight="false" outlineLevel="0" collapsed="false">
      <c r="A261" s="1" t="n">
        <v>0</v>
      </c>
      <c r="B261" s="1" t="n">
        <v>0</v>
      </c>
      <c r="C261" s="1" t="s">
        <v>153</v>
      </c>
      <c r="D261" s="1" t="s">
        <v>349</v>
      </c>
      <c r="E261" s="1" t="s">
        <v>368</v>
      </c>
      <c r="F261" s="1" t="s">
        <v>16</v>
      </c>
      <c r="G261" s="1" t="n">
        <v>-21.3330061</v>
      </c>
      <c r="H261" s="1" t="n">
        <v>-51.6465874</v>
      </c>
      <c r="I261" s="1" t="n">
        <v>-21.3888918</v>
      </c>
      <c r="J261" s="1" t="n">
        <v>-51.5690936</v>
      </c>
      <c r="K261" s="1" t="n">
        <v>12.1</v>
      </c>
      <c r="L261" s="1" t="n">
        <v>13.9</v>
      </c>
      <c r="M261" s="1" t="s">
        <v>17</v>
      </c>
    </row>
    <row r="262" customFormat="false" ht="15" hidden="true" customHeight="false" outlineLevel="0" collapsed="false">
      <c r="A262" s="1" t="n">
        <v>0</v>
      </c>
      <c r="B262" s="1" t="n">
        <v>0</v>
      </c>
      <c r="C262" s="1" t="s">
        <v>42</v>
      </c>
      <c r="D262" s="1" t="s">
        <v>369</v>
      </c>
      <c r="E262" s="1" t="s">
        <v>370</v>
      </c>
      <c r="F262" s="1" t="s">
        <v>16</v>
      </c>
      <c r="G262" s="1" t="n">
        <v>-21.1066536</v>
      </c>
      <c r="H262" s="1" t="n">
        <v>-51.4910804</v>
      </c>
      <c r="I262" s="1" t="n">
        <v>-20.8966796</v>
      </c>
      <c r="J262" s="1" t="n">
        <v>-51.3766594</v>
      </c>
      <c r="K262" s="1" t="n">
        <v>32.8</v>
      </c>
      <c r="L262" s="1" t="n">
        <v>28.1</v>
      </c>
      <c r="M262" s="1" t="s">
        <v>17</v>
      </c>
    </row>
    <row r="263" customFormat="false" ht="15" hidden="true" customHeight="false" outlineLevel="0" collapsed="false">
      <c r="A263" s="1" t="n">
        <v>0</v>
      </c>
      <c r="B263" s="1" t="n">
        <v>0</v>
      </c>
      <c r="C263" s="1" t="s">
        <v>42</v>
      </c>
      <c r="D263" s="1" t="s">
        <v>371</v>
      </c>
      <c r="E263" s="1" t="s">
        <v>372</v>
      </c>
      <c r="F263" s="1" t="s">
        <v>16</v>
      </c>
      <c r="G263" s="1" t="n">
        <v>-20.8558333</v>
      </c>
      <c r="H263" s="1" t="n">
        <v>-50.2619444</v>
      </c>
      <c r="I263" s="1" t="n">
        <v>-20.9320571</v>
      </c>
      <c r="J263" s="1" t="n">
        <v>-50.4952908</v>
      </c>
      <c r="K263" s="1" t="n">
        <v>33.1</v>
      </c>
      <c r="L263" s="1" t="n">
        <v>38</v>
      </c>
      <c r="M263" s="1" t="s">
        <v>17</v>
      </c>
    </row>
    <row r="264" customFormat="false" ht="15" hidden="true" customHeight="false" outlineLevel="0" collapsed="false">
      <c r="A264" s="1" t="n">
        <v>0</v>
      </c>
      <c r="B264" s="1" t="n">
        <v>0</v>
      </c>
      <c r="C264" s="1" t="s">
        <v>82</v>
      </c>
      <c r="D264" s="1" t="s">
        <v>188</v>
      </c>
      <c r="E264" s="1" t="s">
        <v>373</v>
      </c>
      <c r="F264" s="1" t="s">
        <v>16</v>
      </c>
      <c r="G264" s="1" t="n">
        <v>-22.7805746</v>
      </c>
      <c r="H264" s="1" t="n">
        <v>-47.2993805</v>
      </c>
      <c r="I264" s="1" t="n">
        <v>-22.7419147</v>
      </c>
      <c r="J264" s="1" t="n">
        <v>-47.3088468</v>
      </c>
      <c r="K264" s="1" t="n">
        <v>7.9</v>
      </c>
      <c r="L264" s="1" t="n">
        <v>8.7</v>
      </c>
      <c r="M264" s="1" t="s">
        <v>17</v>
      </c>
    </row>
    <row r="265" customFormat="false" ht="15" hidden="true" customHeight="false" outlineLevel="0" collapsed="false">
      <c r="A265" s="1" t="n">
        <v>0</v>
      </c>
      <c r="B265" s="1" t="n">
        <v>0</v>
      </c>
      <c r="C265" s="1" t="s">
        <v>13</v>
      </c>
      <c r="D265" s="1" t="s">
        <v>212</v>
      </c>
      <c r="E265" s="1" t="s">
        <v>374</v>
      </c>
      <c r="F265" s="1" t="s">
        <v>16</v>
      </c>
      <c r="G265" s="1" t="n">
        <v>-20.9941576</v>
      </c>
      <c r="H265" s="1" t="n">
        <v>-48.9188283</v>
      </c>
      <c r="I265" s="1" t="n">
        <v>-20.9632775</v>
      </c>
      <c r="J265" s="1" t="n">
        <v>-49.0312888</v>
      </c>
      <c r="K265" s="1" t="n">
        <v>13.1</v>
      </c>
      <c r="L265" s="1" t="n">
        <v>13.7</v>
      </c>
      <c r="M265" s="1" t="s">
        <v>17</v>
      </c>
    </row>
    <row r="266" customFormat="false" ht="15" hidden="true" customHeight="false" outlineLevel="0" collapsed="false">
      <c r="A266" s="1" t="n">
        <v>0</v>
      </c>
      <c r="B266" s="1" t="n">
        <v>0</v>
      </c>
      <c r="C266" s="1" t="s">
        <v>68</v>
      </c>
      <c r="D266" s="1" t="s">
        <v>375</v>
      </c>
      <c r="E266" s="1" t="s">
        <v>376</v>
      </c>
      <c r="F266" s="1" t="s">
        <v>16</v>
      </c>
      <c r="G266" s="1" t="n">
        <v>-20.730877</v>
      </c>
      <c r="H266" s="1" t="n">
        <v>-47.7522561</v>
      </c>
      <c r="I266" s="1" t="n">
        <v>-20.7217006</v>
      </c>
      <c r="J266" s="1" t="n">
        <v>-47.8709385</v>
      </c>
      <c r="K266" s="1" t="n">
        <v>18.8</v>
      </c>
      <c r="L266" s="1" t="n">
        <v>17.9</v>
      </c>
      <c r="M266" s="1" t="s">
        <v>17</v>
      </c>
    </row>
    <row r="267" customFormat="false" ht="15" hidden="false" customHeight="false" outlineLevel="0" collapsed="false">
      <c r="A267" s="1" t="n">
        <v>0</v>
      </c>
      <c r="B267" s="1" t="n">
        <v>1</v>
      </c>
      <c r="C267" s="1" t="s">
        <v>49</v>
      </c>
      <c r="D267" s="1" t="s">
        <v>49</v>
      </c>
      <c r="E267" s="1" t="s">
        <v>377</v>
      </c>
      <c r="F267" s="1" t="s">
        <v>51</v>
      </c>
      <c r="G267" s="1" t="n">
        <v>-22.4396255</v>
      </c>
      <c r="H267" s="1" t="n">
        <v>-49.9226712</v>
      </c>
      <c r="I267" s="1" t="n">
        <v>-22.227114</v>
      </c>
      <c r="J267" s="1" t="n">
        <v>-49.9359818</v>
      </c>
      <c r="K267" s="1" t="n">
        <v>35.5</v>
      </c>
      <c r="L267" s="1" t="n">
        <v>34.1</v>
      </c>
      <c r="M267" s="1" t="s">
        <v>17</v>
      </c>
    </row>
    <row r="268" customFormat="false" ht="15" hidden="false" customHeight="false" outlineLevel="0" collapsed="false">
      <c r="A268" s="1" t="n">
        <v>0</v>
      </c>
      <c r="B268" s="1" t="n">
        <v>1</v>
      </c>
      <c r="C268" s="1" t="s">
        <v>49</v>
      </c>
      <c r="D268" s="1" t="s">
        <v>49</v>
      </c>
      <c r="E268" s="1" t="s">
        <v>377</v>
      </c>
      <c r="F268" s="1" t="s">
        <v>52</v>
      </c>
      <c r="G268" s="1" t="n">
        <v>-22.4396255</v>
      </c>
      <c r="H268" s="1" t="n">
        <v>-49.9226712</v>
      </c>
      <c r="I268" s="1" t="n">
        <v>-22.224027</v>
      </c>
      <c r="J268" s="1" t="n">
        <v>-49.9472085</v>
      </c>
      <c r="K268" s="1" t="n">
        <v>36.5</v>
      </c>
      <c r="L268" s="1" t="n">
        <v>33.7</v>
      </c>
      <c r="M268" s="1" t="s">
        <v>17</v>
      </c>
    </row>
    <row r="269" customFormat="false" ht="15" hidden="true" customHeight="false" outlineLevel="0" collapsed="false">
      <c r="A269" s="1" t="n">
        <v>0</v>
      </c>
      <c r="B269" s="1" t="n">
        <v>0</v>
      </c>
      <c r="C269" s="1" t="s">
        <v>112</v>
      </c>
      <c r="D269" s="1" t="s">
        <v>113</v>
      </c>
      <c r="E269" s="1" t="s">
        <v>378</v>
      </c>
      <c r="F269" s="1" t="s">
        <v>16</v>
      </c>
      <c r="G269" s="1" t="n">
        <v>-22.9422754</v>
      </c>
      <c r="H269" s="1" t="n">
        <v>-49.3408082</v>
      </c>
      <c r="I269" s="1" t="n">
        <v>-22.901501866441</v>
      </c>
      <c r="J269" s="1" t="n">
        <v>-49.6271577260513</v>
      </c>
      <c r="K269" s="1" t="n">
        <v>44.1</v>
      </c>
      <c r="L269" s="1" t="n">
        <v>49.1</v>
      </c>
      <c r="M269" s="1" t="s">
        <v>17</v>
      </c>
    </row>
    <row r="270" customFormat="false" ht="15" hidden="false" customHeight="false" outlineLevel="0" collapsed="false">
      <c r="A270" s="1" t="n">
        <v>0</v>
      </c>
      <c r="B270" s="1" t="n">
        <v>1</v>
      </c>
      <c r="C270" s="1" t="s">
        <v>49</v>
      </c>
      <c r="D270" s="1" t="s">
        <v>49</v>
      </c>
      <c r="E270" s="1" t="s">
        <v>379</v>
      </c>
      <c r="F270" s="1" t="s">
        <v>51</v>
      </c>
      <c r="G270" s="1" t="n">
        <v>-22.1525442</v>
      </c>
      <c r="H270" s="1" t="n">
        <v>-50.0935645</v>
      </c>
      <c r="I270" s="1" t="n">
        <v>-22.227114</v>
      </c>
      <c r="J270" s="1" t="n">
        <v>-49.9359818</v>
      </c>
      <c r="K270" s="1" t="n">
        <v>21.8</v>
      </c>
      <c r="L270" s="1" t="n">
        <v>21.2</v>
      </c>
      <c r="M270" s="1" t="s">
        <v>17</v>
      </c>
    </row>
    <row r="271" customFormat="false" ht="15" hidden="false" customHeight="false" outlineLevel="0" collapsed="false">
      <c r="A271" s="1" t="n">
        <v>0</v>
      </c>
      <c r="B271" s="1" t="n">
        <v>1</v>
      </c>
      <c r="C271" s="1" t="s">
        <v>49</v>
      </c>
      <c r="D271" s="1" t="s">
        <v>49</v>
      </c>
      <c r="E271" s="1" t="s">
        <v>379</v>
      </c>
      <c r="F271" s="1" t="s">
        <v>52</v>
      </c>
      <c r="G271" s="1" t="n">
        <v>-22.1525442</v>
      </c>
      <c r="H271" s="1" t="n">
        <v>-50.0935645</v>
      </c>
      <c r="I271" s="1" t="n">
        <v>-22.224027</v>
      </c>
      <c r="J271" s="1" t="n">
        <v>-49.9472085</v>
      </c>
      <c r="K271" s="1" t="n">
        <v>20.5</v>
      </c>
      <c r="L271" s="1" t="n">
        <v>18.8</v>
      </c>
      <c r="M271" s="1" t="s">
        <v>17</v>
      </c>
    </row>
    <row r="272" customFormat="false" ht="15" hidden="true" customHeight="false" outlineLevel="0" collapsed="false">
      <c r="A272" s="1" t="n">
        <v>0</v>
      </c>
      <c r="B272" s="1" t="n">
        <v>0</v>
      </c>
      <c r="C272" s="1" t="s">
        <v>13</v>
      </c>
      <c r="D272" s="1" t="s">
        <v>263</v>
      </c>
      <c r="E272" s="1" t="s">
        <v>380</v>
      </c>
      <c r="F272" s="1" t="s">
        <v>16</v>
      </c>
      <c r="G272" s="1" t="n">
        <v>-20.1819444</v>
      </c>
      <c r="H272" s="1" t="n">
        <v>-49.3508333</v>
      </c>
      <c r="I272" s="1" t="n">
        <v>-20.5380441023481</v>
      </c>
      <c r="J272" s="1" t="n">
        <v>-49.3244409186177</v>
      </c>
      <c r="K272" s="1" t="n">
        <v>52.6</v>
      </c>
      <c r="L272" s="1" t="n">
        <v>48.7</v>
      </c>
      <c r="M272" s="1" t="s">
        <v>17</v>
      </c>
    </row>
    <row r="273" customFormat="false" ht="15" hidden="true" customHeight="false" outlineLevel="0" collapsed="false">
      <c r="A273" s="1" t="n">
        <v>0</v>
      </c>
      <c r="B273" s="1" t="n">
        <v>1</v>
      </c>
      <c r="C273" s="1" t="s">
        <v>106</v>
      </c>
      <c r="D273" s="1" t="s">
        <v>107</v>
      </c>
      <c r="E273" s="1" t="s">
        <v>106</v>
      </c>
      <c r="F273" s="1" t="s">
        <v>16</v>
      </c>
      <c r="G273" s="1" t="n">
        <v>-23.5324859</v>
      </c>
      <c r="H273" s="1" t="n">
        <v>-46.7916801</v>
      </c>
      <c r="I273" s="1" t="n">
        <v>-23.5706964</v>
      </c>
      <c r="J273" s="1" t="n">
        <v>-46.7104754</v>
      </c>
      <c r="K273" s="1" t="n">
        <v>12.3</v>
      </c>
      <c r="L273" s="1" t="n">
        <v>14.5</v>
      </c>
      <c r="M273" s="1" t="s">
        <v>17</v>
      </c>
    </row>
    <row r="274" customFormat="false" ht="15" hidden="false" customHeight="false" outlineLevel="0" collapsed="false">
      <c r="A274" s="1" t="n">
        <v>0</v>
      </c>
      <c r="B274" s="1" t="n">
        <v>1</v>
      </c>
      <c r="C274" s="1" t="s">
        <v>49</v>
      </c>
      <c r="D274" s="1" t="s">
        <v>49</v>
      </c>
      <c r="E274" s="1" t="s">
        <v>381</v>
      </c>
      <c r="F274" s="1" t="s">
        <v>51</v>
      </c>
      <c r="G274" s="1" t="n">
        <v>-22.314874</v>
      </c>
      <c r="H274" s="1" t="n">
        <v>-50.281118</v>
      </c>
      <c r="I274" s="1" t="n">
        <v>-22.227114</v>
      </c>
      <c r="J274" s="1" t="n">
        <v>-49.9359818</v>
      </c>
      <c r="K274" s="1" t="n">
        <v>44.2</v>
      </c>
      <c r="L274" s="1" t="n">
        <v>44.2</v>
      </c>
      <c r="M274" s="1" t="s">
        <v>17</v>
      </c>
    </row>
    <row r="275" customFormat="false" ht="15" hidden="false" customHeight="false" outlineLevel="0" collapsed="false">
      <c r="A275" s="1" t="n">
        <v>0</v>
      </c>
      <c r="B275" s="1" t="n">
        <v>1</v>
      </c>
      <c r="C275" s="1" t="s">
        <v>49</v>
      </c>
      <c r="D275" s="1" t="s">
        <v>49</v>
      </c>
      <c r="E275" s="1" t="s">
        <v>381</v>
      </c>
      <c r="F275" s="1" t="s">
        <v>52</v>
      </c>
      <c r="G275" s="1" t="n">
        <v>-22.314874</v>
      </c>
      <c r="H275" s="1" t="n">
        <v>-50.281118</v>
      </c>
      <c r="I275" s="1" t="n">
        <v>-22.224027</v>
      </c>
      <c r="J275" s="1" t="n">
        <v>-49.9472085</v>
      </c>
      <c r="K275" s="1" t="n">
        <v>43.5</v>
      </c>
      <c r="L275" s="1" t="n">
        <v>43.8</v>
      </c>
      <c r="M275" s="1" t="s">
        <v>17</v>
      </c>
    </row>
    <row r="276" customFormat="false" ht="15" hidden="true" customHeight="false" outlineLevel="0" collapsed="false">
      <c r="A276" s="1" t="n">
        <v>0</v>
      </c>
      <c r="B276" s="1" t="n">
        <v>0</v>
      </c>
      <c r="C276" s="1" t="s">
        <v>49</v>
      </c>
      <c r="D276" s="1" t="s">
        <v>228</v>
      </c>
      <c r="E276" s="1" t="s">
        <v>382</v>
      </c>
      <c r="F276" s="1" t="s">
        <v>16</v>
      </c>
      <c r="G276" s="1" t="n">
        <v>-21.7962773</v>
      </c>
      <c r="H276" s="1" t="n">
        <v>-50.879119</v>
      </c>
      <c r="I276" s="1" t="n">
        <v>-21.6926132757716</v>
      </c>
      <c r="J276" s="1" t="n">
        <v>-51.0706469456515</v>
      </c>
      <c r="K276" s="1" t="n">
        <v>28</v>
      </c>
      <c r="L276" s="1" t="n">
        <v>28</v>
      </c>
      <c r="M276" s="1" t="s">
        <v>17</v>
      </c>
    </row>
    <row r="277" customFormat="false" ht="15" hidden="true" customHeight="false" outlineLevel="0" collapsed="false">
      <c r="A277" s="1" t="n">
        <v>0</v>
      </c>
      <c r="B277" s="1" t="n">
        <v>0</v>
      </c>
      <c r="C277" s="1" t="s">
        <v>153</v>
      </c>
      <c r="D277" s="1" t="s">
        <v>383</v>
      </c>
      <c r="E277" s="1" t="s">
        <v>384</v>
      </c>
      <c r="F277" s="1" t="s">
        <v>16</v>
      </c>
      <c r="G277" s="1" t="n">
        <v>-21.4892638</v>
      </c>
      <c r="H277" s="1" t="n">
        <v>-51.7025981</v>
      </c>
      <c r="I277" s="1" t="n">
        <v>-21.4781604</v>
      </c>
      <c r="J277" s="1" t="n">
        <v>-51.5371868</v>
      </c>
      <c r="K277" s="1" t="n">
        <v>20.3</v>
      </c>
      <c r="L277" s="1" t="n">
        <v>24.6</v>
      </c>
      <c r="M277" s="1" t="s">
        <v>17</v>
      </c>
    </row>
    <row r="278" customFormat="false" ht="15" hidden="true" customHeight="false" outlineLevel="0" collapsed="false">
      <c r="A278" s="1" t="n">
        <v>0</v>
      </c>
      <c r="B278" s="1" t="n">
        <v>0</v>
      </c>
      <c r="C278" s="1" t="s">
        <v>49</v>
      </c>
      <c r="D278" s="1" t="s">
        <v>228</v>
      </c>
      <c r="E278" s="1" t="s">
        <v>385</v>
      </c>
      <c r="F278" s="1" t="s">
        <v>16</v>
      </c>
      <c r="G278" s="1" t="n">
        <v>-21.566243</v>
      </c>
      <c r="H278" s="1" t="n">
        <v>-51.2633114</v>
      </c>
      <c r="I278" s="1" t="n">
        <v>-21.6926132757716</v>
      </c>
      <c r="J278" s="1" t="n">
        <v>-51.0706469456515</v>
      </c>
      <c r="K278" s="1" t="n">
        <v>27.8</v>
      </c>
      <c r="L278" s="1" t="n">
        <v>26.6</v>
      </c>
      <c r="M278" s="1" t="s">
        <v>17</v>
      </c>
    </row>
    <row r="279" customFormat="false" ht="15" hidden="true" customHeight="false" outlineLevel="0" collapsed="false">
      <c r="A279" s="1" t="n">
        <v>0</v>
      </c>
      <c r="B279" s="1" t="n">
        <v>0</v>
      </c>
      <c r="C279" s="1" t="s">
        <v>13</v>
      </c>
      <c r="D279" s="1" t="s">
        <v>263</v>
      </c>
      <c r="E279" s="1" t="s">
        <v>386</v>
      </c>
      <c r="F279" s="1" t="s">
        <v>16</v>
      </c>
      <c r="G279" s="1" t="n">
        <v>-20.389344</v>
      </c>
      <c r="H279" s="1" t="n">
        <v>-49.4320384</v>
      </c>
      <c r="I279" s="1" t="n">
        <v>-20.5380441023481</v>
      </c>
      <c r="J279" s="1" t="n">
        <v>-49.3244409186177</v>
      </c>
      <c r="K279" s="1" t="n">
        <v>24.7</v>
      </c>
      <c r="L279" s="1" t="n">
        <v>25.4</v>
      </c>
      <c r="M279" s="1" t="s">
        <v>17</v>
      </c>
    </row>
    <row r="280" customFormat="false" ht="15" hidden="true" customHeight="false" outlineLevel="0" collapsed="false">
      <c r="A280" s="1" t="n">
        <v>0</v>
      </c>
      <c r="B280" s="1" t="n">
        <v>0</v>
      </c>
      <c r="C280" s="1" t="s">
        <v>13</v>
      </c>
      <c r="D280" s="1" t="s">
        <v>80</v>
      </c>
      <c r="E280" s="1" t="s">
        <v>387</v>
      </c>
      <c r="F280" s="1" t="s">
        <v>16</v>
      </c>
      <c r="G280" s="1" t="n">
        <v>-21.085369</v>
      </c>
      <c r="H280" s="1" t="n">
        <v>-48.803656</v>
      </c>
      <c r="I280" s="1" t="n">
        <v>-21.1407509</v>
      </c>
      <c r="J280" s="1" t="n">
        <v>-48.9754937</v>
      </c>
      <c r="K280" s="1" t="n">
        <v>24.2</v>
      </c>
      <c r="L280" s="1" t="n">
        <v>24.2</v>
      </c>
      <c r="M280" s="1" t="s">
        <v>17</v>
      </c>
    </row>
    <row r="281" customFormat="false" ht="15" hidden="true" customHeight="false" outlineLevel="0" collapsed="false">
      <c r="A281" s="1" t="n">
        <v>0</v>
      </c>
      <c r="B281" s="1" t="n">
        <v>0</v>
      </c>
      <c r="C281" s="1" t="s">
        <v>64</v>
      </c>
      <c r="D281" s="1" t="s">
        <v>64</v>
      </c>
      <c r="E281" s="1" t="s">
        <v>388</v>
      </c>
      <c r="F281" s="1" t="s">
        <v>16</v>
      </c>
      <c r="G281" s="1" t="n">
        <v>-20.4168187</v>
      </c>
      <c r="H281" s="1" t="n">
        <v>-50.762159</v>
      </c>
      <c r="I281" s="1" t="n">
        <v>-20.2667765</v>
      </c>
      <c r="J281" s="1" t="n">
        <v>-50.5425068</v>
      </c>
      <c r="K281" s="1" t="n">
        <v>30.6</v>
      </c>
      <c r="L281" s="1" t="n">
        <v>32.7</v>
      </c>
      <c r="M281" s="1" t="s">
        <v>17</v>
      </c>
    </row>
    <row r="282" customFormat="false" ht="15" hidden="true" customHeight="false" outlineLevel="0" collapsed="false">
      <c r="A282" s="1" t="n">
        <v>0</v>
      </c>
      <c r="B282" s="1" t="n">
        <v>0</v>
      </c>
      <c r="C282" s="1" t="s">
        <v>112</v>
      </c>
      <c r="D282" s="1" t="s">
        <v>112</v>
      </c>
      <c r="E282" s="1" t="s">
        <v>389</v>
      </c>
      <c r="F282" s="1" t="s">
        <v>16</v>
      </c>
      <c r="G282" s="1" t="n">
        <v>-22.786384</v>
      </c>
      <c r="H282" s="1" t="n">
        <v>-50.2198965</v>
      </c>
      <c r="I282" s="1" t="n">
        <v>-22.6475712</v>
      </c>
      <c r="J282" s="1" t="n">
        <v>-50.4055842</v>
      </c>
      <c r="K282" s="1" t="n">
        <v>29.9</v>
      </c>
      <c r="L282" s="1" t="n">
        <v>27.4</v>
      </c>
      <c r="M282" s="1" t="s">
        <v>17</v>
      </c>
    </row>
    <row r="283" customFormat="false" ht="15" hidden="true" customHeight="false" outlineLevel="0" collapsed="false">
      <c r="A283" s="1" t="n">
        <v>0</v>
      </c>
      <c r="B283" s="1" t="n">
        <v>0</v>
      </c>
      <c r="C283" s="1" t="s">
        <v>13</v>
      </c>
      <c r="D283" s="1" t="s">
        <v>80</v>
      </c>
      <c r="E283" s="1" t="s">
        <v>390</v>
      </c>
      <c r="F283" s="1" t="s">
        <v>16</v>
      </c>
      <c r="G283" s="1" t="n">
        <v>-21.015911</v>
      </c>
      <c r="H283" s="1" t="n">
        <v>-48.776105</v>
      </c>
      <c r="I283" s="1" t="n">
        <v>-21.1407509</v>
      </c>
      <c r="J283" s="1" t="n">
        <v>-48.9754937</v>
      </c>
      <c r="K283" s="1" t="n">
        <v>32.2</v>
      </c>
      <c r="L283" s="1" t="n">
        <v>32.6</v>
      </c>
      <c r="M283" s="1" t="s">
        <v>17</v>
      </c>
    </row>
    <row r="284" customFormat="false" ht="15" hidden="true" customHeight="false" outlineLevel="0" collapsed="false">
      <c r="A284" s="1" t="n">
        <v>0</v>
      </c>
      <c r="B284" s="1" t="n">
        <v>0</v>
      </c>
      <c r="C284" s="1" t="s">
        <v>64</v>
      </c>
      <c r="D284" s="1" t="s">
        <v>64</v>
      </c>
      <c r="E284" s="1" t="s">
        <v>391</v>
      </c>
      <c r="F284" s="1" t="s">
        <v>16</v>
      </c>
      <c r="G284" s="1" t="n">
        <v>-20.1033995</v>
      </c>
      <c r="H284" s="1" t="n">
        <v>-50.5858761</v>
      </c>
      <c r="I284" s="1" t="n">
        <v>-20.2667765</v>
      </c>
      <c r="J284" s="1" t="n">
        <v>-50.5425068</v>
      </c>
      <c r="K284" s="1" t="n">
        <v>23.4</v>
      </c>
      <c r="L284" s="1" t="n">
        <v>24.7</v>
      </c>
      <c r="M284" s="1" t="s">
        <v>17</v>
      </c>
    </row>
    <row r="285" customFormat="false" ht="15" hidden="true" customHeight="false" outlineLevel="0" collapsed="false">
      <c r="A285" s="1" t="n">
        <v>0</v>
      </c>
      <c r="B285" s="1" t="n">
        <v>0</v>
      </c>
      <c r="C285" s="1" t="s">
        <v>49</v>
      </c>
      <c r="D285" s="1" t="s">
        <v>74</v>
      </c>
      <c r="E285" s="1" t="s">
        <v>392</v>
      </c>
      <c r="F285" s="1" t="s">
        <v>16</v>
      </c>
      <c r="G285" s="1" t="n">
        <v>-21.781309</v>
      </c>
      <c r="H285" s="1" t="n">
        <v>-50.7922396</v>
      </c>
      <c r="I285" s="1" t="n">
        <v>-21.9239111</v>
      </c>
      <c r="J285" s="1" t="n">
        <v>-50.5180547</v>
      </c>
      <c r="K285" s="1" t="n">
        <v>35.6</v>
      </c>
      <c r="L285" s="1" t="n">
        <v>33.6</v>
      </c>
      <c r="M285" s="1" t="s">
        <v>17</v>
      </c>
    </row>
    <row r="286" customFormat="false" ht="15" hidden="true" customHeight="false" outlineLevel="0" collapsed="false">
      <c r="A286" s="1" t="n">
        <v>0</v>
      </c>
      <c r="B286" s="1" t="n">
        <v>0</v>
      </c>
      <c r="C286" s="1" t="s">
        <v>24</v>
      </c>
      <c r="D286" s="1" t="s">
        <v>24</v>
      </c>
      <c r="E286" s="1" t="s">
        <v>393</v>
      </c>
      <c r="F286" s="1" t="s">
        <v>16</v>
      </c>
      <c r="G286" s="1" t="n">
        <v>-23.0810065</v>
      </c>
      <c r="H286" s="1" t="n">
        <v>-48.3781499</v>
      </c>
      <c r="I286" s="1" t="n">
        <v>-22.8913439388248</v>
      </c>
      <c r="J286" s="1" t="n">
        <v>-48.4962954591084</v>
      </c>
      <c r="K286" s="1" t="n">
        <v>34.4</v>
      </c>
      <c r="L286" s="1" t="n">
        <v>33.4</v>
      </c>
      <c r="M286" s="1" t="s">
        <v>17</v>
      </c>
    </row>
    <row r="287" customFormat="false" ht="15" hidden="true" customHeight="false" outlineLevel="0" collapsed="false">
      <c r="A287" s="1" t="n">
        <v>0</v>
      </c>
      <c r="B287" s="1" t="n">
        <v>0</v>
      </c>
      <c r="C287" s="1" t="s">
        <v>13</v>
      </c>
      <c r="D287" s="1" t="s">
        <v>46</v>
      </c>
      <c r="E287" s="1" t="s">
        <v>394</v>
      </c>
      <c r="F287" s="1" t="s">
        <v>16</v>
      </c>
      <c r="G287" s="1" t="n">
        <v>-20.3039424</v>
      </c>
      <c r="H287" s="1" t="n">
        <v>-50.0135808</v>
      </c>
      <c r="I287" s="1" t="n">
        <v>-20.4262217</v>
      </c>
      <c r="J287" s="1" t="n">
        <v>-49.9787386</v>
      </c>
      <c r="K287" s="1" t="n">
        <v>15.9</v>
      </c>
      <c r="L287" s="1" t="n">
        <v>17.3</v>
      </c>
      <c r="M287" s="1" t="s">
        <v>17</v>
      </c>
    </row>
    <row r="288" customFormat="false" ht="15" hidden="true" customHeight="false" outlineLevel="0" collapsed="false">
      <c r="A288" s="1" t="n">
        <v>0</v>
      </c>
      <c r="B288" s="1" t="n">
        <v>0</v>
      </c>
      <c r="C288" s="1" t="s">
        <v>153</v>
      </c>
      <c r="D288" s="1" t="s">
        <v>395</v>
      </c>
      <c r="E288" s="1" t="s">
        <v>396</v>
      </c>
      <c r="F288" s="1" t="s">
        <v>16</v>
      </c>
      <c r="G288" s="1" t="n">
        <v>-21.3143975</v>
      </c>
      <c r="H288" s="1" t="n">
        <v>-51.8316259</v>
      </c>
      <c r="I288" s="1" t="n">
        <v>-21.3635248</v>
      </c>
      <c r="J288" s="1" t="n">
        <v>-51.8592678</v>
      </c>
      <c r="K288" s="1" t="n">
        <v>7.9</v>
      </c>
      <c r="L288" s="1" t="n">
        <v>11.5</v>
      </c>
      <c r="M288" s="1" t="s">
        <v>17</v>
      </c>
    </row>
    <row r="289" customFormat="false" ht="15" hidden="true" customHeight="false" outlineLevel="0" collapsed="false">
      <c r="A289" s="1" t="n">
        <v>0</v>
      </c>
      <c r="B289" s="1" t="n">
        <v>1</v>
      </c>
      <c r="C289" s="1" t="s">
        <v>82</v>
      </c>
      <c r="D289" s="1" t="s">
        <v>82</v>
      </c>
      <c r="E289" s="1" t="s">
        <v>397</v>
      </c>
      <c r="F289" s="1" t="s">
        <v>16</v>
      </c>
      <c r="G289" s="1" t="n">
        <v>-22.7630391</v>
      </c>
      <c r="H289" s="1" t="n">
        <v>-47.1532213</v>
      </c>
      <c r="I289" s="1" t="n">
        <v>-22.8267804850019</v>
      </c>
      <c r="J289" s="1" t="n">
        <v>-47.0640301726016</v>
      </c>
      <c r="K289" s="1" t="n">
        <v>15.6</v>
      </c>
      <c r="L289" s="1" t="n">
        <v>18.5</v>
      </c>
      <c r="M289" s="1" t="s">
        <v>17</v>
      </c>
    </row>
    <row r="290" customFormat="false" ht="15" hidden="true" customHeight="false" outlineLevel="0" collapsed="false">
      <c r="A290" s="1" t="n">
        <v>0</v>
      </c>
      <c r="B290" s="1" t="n">
        <v>0</v>
      </c>
      <c r="C290" s="1" t="s">
        <v>30</v>
      </c>
      <c r="D290" s="1" t="s">
        <v>141</v>
      </c>
      <c r="E290" s="1" t="s">
        <v>398</v>
      </c>
      <c r="F290" s="1" t="s">
        <v>16</v>
      </c>
      <c r="G290" s="1" t="n">
        <v>-22.5730321</v>
      </c>
      <c r="H290" s="1" t="n">
        <v>-49.3985251</v>
      </c>
      <c r="I290" s="1" t="n">
        <v>-22.4188119</v>
      </c>
      <c r="J290" s="1" t="n">
        <v>-49.4158972</v>
      </c>
      <c r="K290" s="1" t="n">
        <v>32.4</v>
      </c>
      <c r="L290" s="1" t="n">
        <v>31.7</v>
      </c>
      <c r="M290" s="1" t="s">
        <v>17</v>
      </c>
    </row>
    <row r="291" customFormat="false" ht="15" hidden="true" customHeight="false" outlineLevel="0" collapsed="false">
      <c r="A291" s="1" t="n">
        <v>0</v>
      </c>
      <c r="B291" s="1" t="n">
        <v>0</v>
      </c>
      <c r="C291" s="1" t="s">
        <v>13</v>
      </c>
      <c r="D291" s="1" t="s">
        <v>263</v>
      </c>
      <c r="E291" s="1" t="s">
        <v>399</v>
      </c>
      <c r="F291" s="1" t="s">
        <v>16</v>
      </c>
      <c r="G291" s="1" t="n">
        <v>-20.029593</v>
      </c>
      <c r="H291" s="1" t="n">
        <v>-49.3998592</v>
      </c>
      <c r="I291" s="1" t="n">
        <v>-20.5380441023481</v>
      </c>
      <c r="J291" s="1" t="n">
        <v>-49.3244409186177</v>
      </c>
      <c r="K291" s="1" t="n">
        <v>68.1</v>
      </c>
      <c r="L291" s="1" t="n">
        <v>57.9</v>
      </c>
      <c r="M291" s="1" t="s">
        <v>17</v>
      </c>
    </row>
    <row r="292" customFormat="false" ht="15" hidden="true" customHeight="false" outlineLevel="0" collapsed="false">
      <c r="A292" s="1" t="n">
        <v>0</v>
      </c>
      <c r="B292" s="1" t="n">
        <v>1</v>
      </c>
      <c r="C292" s="1" t="s">
        <v>30</v>
      </c>
      <c r="D292" s="1" t="s">
        <v>30</v>
      </c>
      <c r="E292" s="1" t="s">
        <v>400</v>
      </c>
      <c r="F292" s="1" t="s">
        <v>32</v>
      </c>
      <c r="G292" s="1" t="n">
        <v>-23.4346441</v>
      </c>
      <c r="H292" s="1" t="n">
        <v>-46.5157181</v>
      </c>
      <c r="I292" s="1" t="n">
        <v>-22.3088056</v>
      </c>
      <c r="J292" s="1" t="n">
        <v>-49.0897729</v>
      </c>
      <c r="K292" s="1" t="n">
        <v>36.2</v>
      </c>
      <c r="L292" s="1" t="n">
        <v>37</v>
      </c>
      <c r="M292" s="1" t="s">
        <v>38</v>
      </c>
    </row>
    <row r="293" customFormat="false" ht="15" hidden="true" customHeight="false" outlineLevel="0" collapsed="false">
      <c r="A293" s="1" t="n">
        <v>0</v>
      </c>
      <c r="B293" s="1" t="n">
        <v>1</v>
      </c>
      <c r="C293" s="1" t="s">
        <v>30</v>
      </c>
      <c r="D293" s="1" t="s">
        <v>30</v>
      </c>
      <c r="E293" s="1" t="s">
        <v>400</v>
      </c>
      <c r="F293" s="1" t="s">
        <v>33</v>
      </c>
      <c r="G293" s="1" t="n">
        <v>-23.4346441</v>
      </c>
      <c r="H293" s="1" t="n">
        <v>-46.5157181</v>
      </c>
      <c r="I293" s="1" t="n">
        <v>-22.3088056</v>
      </c>
      <c r="J293" s="1" t="n">
        <v>-49.0897729</v>
      </c>
      <c r="K293" s="1" t="n">
        <v>34</v>
      </c>
      <c r="L293" s="1" t="n">
        <v>35</v>
      </c>
      <c r="M293" s="1" t="s">
        <v>38</v>
      </c>
    </row>
    <row r="294" customFormat="false" ht="15" hidden="true" customHeight="false" outlineLevel="0" collapsed="false">
      <c r="A294" s="1" t="n">
        <v>0</v>
      </c>
      <c r="B294" s="1" t="n">
        <v>0</v>
      </c>
      <c r="C294" s="1" t="s">
        <v>82</v>
      </c>
      <c r="D294" s="1" t="s">
        <v>401</v>
      </c>
      <c r="E294" s="1" t="s">
        <v>402</v>
      </c>
      <c r="F294" s="1" t="s">
        <v>16</v>
      </c>
      <c r="G294" s="1" t="n">
        <v>-22.7950193</v>
      </c>
      <c r="H294" s="1" t="n">
        <v>-46.4431811</v>
      </c>
      <c r="I294" s="1" t="n">
        <v>-22.59852</v>
      </c>
      <c r="J294" s="1" t="n">
        <v>-46.5296166</v>
      </c>
      <c r="K294" s="1" t="n">
        <v>40.6</v>
      </c>
      <c r="L294" s="1" t="n">
        <v>42</v>
      </c>
      <c r="M294" s="1" t="s">
        <v>17</v>
      </c>
    </row>
    <row r="295" customFormat="false" ht="15" hidden="true" customHeight="false" outlineLevel="0" collapsed="false">
      <c r="A295" s="1" t="n">
        <v>0</v>
      </c>
      <c r="B295" s="1" t="n">
        <v>0</v>
      </c>
      <c r="C295" s="1" t="s">
        <v>64</v>
      </c>
      <c r="D295" s="1" t="s">
        <v>219</v>
      </c>
      <c r="E295" s="1" t="s">
        <v>403</v>
      </c>
      <c r="F295" s="1" t="s">
        <v>16</v>
      </c>
      <c r="G295" s="1" t="n">
        <v>-20.249177</v>
      </c>
      <c r="H295" s="1" t="n">
        <v>-50.1102463</v>
      </c>
      <c r="I295" s="1" t="n">
        <v>-20.2956731</v>
      </c>
      <c r="J295" s="1" t="n">
        <v>-50.2471189</v>
      </c>
      <c r="K295" s="1" t="n">
        <v>17.9</v>
      </c>
      <c r="L295" s="1" t="n">
        <v>20.3</v>
      </c>
      <c r="M295" s="1" t="s">
        <v>17</v>
      </c>
    </row>
    <row r="296" customFormat="false" ht="15" hidden="true" customHeight="false" outlineLevel="0" collapsed="false">
      <c r="A296" s="1" t="n">
        <v>0</v>
      </c>
      <c r="B296" s="1" t="n">
        <v>1</v>
      </c>
      <c r="C296" s="1" t="s">
        <v>82</v>
      </c>
      <c r="D296" s="1" t="s">
        <v>82</v>
      </c>
      <c r="E296" s="1" t="s">
        <v>404</v>
      </c>
      <c r="F296" s="1" t="s">
        <v>16</v>
      </c>
      <c r="G296" s="1" t="n">
        <v>-22.741347</v>
      </c>
      <c r="H296" s="1" t="n">
        <v>-46.894846</v>
      </c>
      <c r="I296" s="1" t="n">
        <v>-22.8267804850019</v>
      </c>
      <c r="J296" s="1" t="n">
        <v>-47.0640301726016</v>
      </c>
      <c r="K296" s="1" t="n">
        <v>38.9</v>
      </c>
      <c r="L296" s="1" t="n">
        <v>40.1</v>
      </c>
      <c r="M296" s="1" t="s">
        <v>17</v>
      </c>
    </row>
    <row r="297" customFormat="false" ht="15" hidden="true" customHeight="false" outlineLevel="0" collapsed="false">
      <c r="A297" s="1" t="n">
        <v>0</v>
      </c>
      <c r="B297" s="1" t="n">
        <v>0</v>
      </c>
      <c r="C297" s="1" t="s">
        <v>112</v>
      </c>
      <c r="D297" s="1" t="s">
        <v>112</v>
      </c>
      <c r="E297" s="1" t="s">
        <v>405</v>
      </c>
      <c r="F297" s="1" t="s">
        <v>16</v>
      </c>
      <c r="G297" s="1" t="n">
        <v>-22.815725</v>
      </c>
      <c r="H297" s="1" t="n">
        <v>-50.792359</v>
      </c>
      <c r="I297" s="1" t="n">
        <v>-22.6475712</v>
      </c>
      <c r="J297" s="1" t="n">
        <v>-50.4055842</v>
      </c>
      <c r="K297" s="1" t="n">
        <v>50.3</v>
      </c>
      <c r="L297" s="1" t="n">
        <v>41.7</v>
      </c>
      <c r="M297" s="1" t="s">
        <v>17</v>
      </c>
    </row>
    <row r="298" customFormat="false" ht="15" hidden="true" customHeight="false" outlineLevel="0" collapsed="false">
      <c r="A298" s="1" t="n">
        <v>0</v>
      </c>
      <c r="B298" s="1" t="n">
        <v>0</v>
      </c>
      <c r="C298" s="1" t="s">
        <v>24</v>
      </c>
      <c r="D298" s="1" t="s">
        <v>406</v>
      </c>
      <c r="E298" s="1" t="s">
        <v>407</v>
      </c>
      <c r="F298" s="1" t="s">
        <v>16</v>
      </c>
      <c r="G298" s="1" t="n">
        <v>-23.0743096</v>
      </c>
      <c r="H298" s="1" t="n">
        <v>-47.9746014</v>
      </c>
      <c r="I298" s="1" t="n">
        <v>-23.0176986</v>
      </c>
      <c r="J298" s="1" t="n">
        <v>-48.01138</v>
      </c>
      <c r="K298" s="1" t="n">
        <v>11.6</v>
      </c>
      <c r="L298" s="1" t="n">
        <v>13.2</v>
      </c>
      <c r="M298" s="1" t="s">
        <v>17</v>
      </c>
    </row>
    <row r="299" customFormat="false" ht="15" hidden="true" customHeight="false" outlineLevel="0" collapsed="false">
      <c r="A299" s="1" t="n">
        <v>0</v>
      </c>
      <c r="B299" s="1" t="n">
        <v>0</v>
      </c>
      <c r="C299" s="1" t="s">
        <v>42</v>
      </c>
      <c r="D299" s="1" t="s">
        <v>115</v>
      </c>
      <c r="E299" s="1" t="s">
        <v>408</v>
      </c>
      <c r="F299" s="1" t="s">
        <v>16</v>
      </c>
      <c r="G299" s="1" t="n">
        <v>-21.5901744</v>
      </c>
      <c r="H299" s="1" t="n">
        <v>-50.5972241</v>
      </c>
      <c r="I299" s="1" t="n">
        <v>-21.5566976258936</v>
      </c>
      <c r="J299" s="1" t="n">
        <v>-50.4465331675452</v>
      </c>
      <c r="K299" s="1" t="n">
        <v>24.7</v>
      </c>
      <c r="L299" s="1" t="n">
        <v>24.6</v>
      </c>
      <c r="M299" s="1" t="s">
        <v>17</v>
      </c>
    </row>
    <row r="300" customFormat="false" ht="15" hidden="true" customHeight="false" outlineLevel="0" collapsed="false">
      <c r="A300" s="1" t="n">
        <v>0</v>
      </c>
      <c r="B300" s="1" t="n">
        <v>0</v>
      </c>
      <c r="C300" s="1" t="s">
        <v>34</v>
      </c>
      <c r="D300" s="1" t="s">
        <v>409</v>
      </c>
      <c r="E300" s="1" t="s">
        <v>410</v>
      </c>
      <c r="F300" s="1" t="s">
        <v>16</v>
      </c>
      <c r="G300" s="1" t="n">
        <v>-23.8121684</v>
      </c>
      <c r="H300" s="1" t="n">
        <v>-47.7201865</v>
      </c>
      <c r="I300" s="1" t="n">
        <v>-23.8733231172657</v>
      </c>
      <c r="J300" s="1" t="n">
        <v>-47.9994060499722</v>
      </c>
      <c r="K300" s="1" t="n">
        <v>36.9</v>
      </c>
      <c r="L300" s="1" t="n">
        <v>37</v>
      </c>
      <c r="M300" s="1" t="s">
        <v>17</v>
      </c>
    </row>
    <row r="301" customFormat="false" ht="15" hidden="true" customHeight="false" outlineLevel="0" collapsed="false">
      <c r="A301" s="1" t="n">
        <v>0</v>
      </c>
      <c r="B301" s="1" t="n">
        <v>0</v>
      </c>
      <c r="C301" s="1" t="s">
        <v>13</v>
      </c>
      <c r="D301" s="1" t="s">
        <v>80</v>
      </c>
      <c r="E301" s="1" t="s">
        <v>411</v>
      </c>
      <c r="F301" s="1" t="s">
        <v>16</v>
      </c>
      <c r="G301" s="1" t="n">
        <v>-21.1853</v>
      </c>
      <c r="H301" s="1" t="n">
        <v>-48.90861</v>
      </c>
      <c r="I301" s="1" t="n">
        <v>-21.1407509</v>
      </c>
      <c r="J301" s="1" t="n">
        <v>-48.9754937</v>
      </c>
      <c r="K301" s="1" t="n">
        <v>9.2</v>
      </c>
      <c r="L301" s="1" t="n">
        <v>11.9</v>
      </c>
      <c r="M301" s="1" t="s">
        <v>17</v>
      </c>
    </row>
    <row r="302" customFormat="false" ht="15" hidden="true" customHeight="false" outlineLevel="0" collapsed="false">
      <c r="A302" s="1" t="n">
        <v>0</v>
      </c>
      <c r="B302" s="1" t="n">
        <v>0</v>
      </c>
      <c r="C302" s="1" t="s">
        <v>82</v>
      </c>
      <c r="D302" s="1" t="s">
        <v>401</v>
      </c>
      <c r="E302" s="1" t="s">
        <v>412</v>
      </c>
      <c r="F302" s="1" t="s">
        <v>16</v>
      </c>
      <c r="G302" s="1" t="n">
        <v>-22.7824349</v>
      </c>
      <c r="H302" s="1" t="n">
        <v>-46.5901718</v>
      </c>
      <c r="I302" s="1" t="n">
        <v>-22.59852</v>
      </c>
      <c r="J302" s="1" t="n">
        <v>-46.5296166</v>
      </c>
      <c r="K302" s="1" t="n">
        <v>27.1</v>
      </c>
      <c r="L302" s="1" t="n">
        <v>28.1</v>
      </c>
      <c r="M302" s="1" t="s">
        <v>17</v>
      </c>
    </row>
    <row r="303" customFormat="false" ht="15" hidden="true" customHeight="false" outlineLevel="0" collapsed="false">
      <c r="A303" s="1" t="n">
        <v>0</v>
      </c>
      <c r="B303" s="1" t="n">
        <v>0</v>
      </c>
      <c r="C303" s="1" t="s">
        <v>153</v>
      </c>
      <c r="D303" s="1" t="s">
        <v>153</v>
      </c>
      <c r="E303" s="1" t="s">
        <v>413</v>
      </c>
      <c r="F303" s="1" t="s">
        <v>16</v>
      </c>
      <c r="G303" s="1" t="n">
        <v>-21.8856652</v>
      </c>
      <c r="H303" s="1" t="n">
        <v>-51.7296404</v>
      </c>
      <c r="I303" s="1" t="n">
        <v>-21.8714290876156</v>
      </c>
      <c r="J303" s="1" t="n">
        <v>-51.841602703319</v>
      </c>
      <c r="K303" s="1" t="n">
        <v>20.4</v>
      </c>
      <c r="L303" s="1" t="n">
        <v>19.8</v>
      </c>
      <c r="M303" s="1" t="s">
        <v>17</v>
      </c>
    </row>
    <row r="304" customFormat="false" ht="15" hidden="true" customHeight="false" outlineLevel="0" collapsed="false">
      <c r="A304" s="1" t="n">
        <v>0</v>
      </c>
      <c r="B304" s="1" t="n">
        <v>0</v>
      </c>
      <c r="C304" s="1" t="s">
        <v>61</v>
      </c>
      <c r="D304" s="1" t="s">
        <v>147</v>
      </c>
      <c r="E304" s="1" t="s">
        <v>414</v>
      </c>
      <c r="F304" s="1" t="s">
        <v>16</v>
      </c>
      <c r="G304" s="1" t="n">
        <v>-22.6138451</v>
      </c>
      <c r="H304" s="1" t="n">
        <v>-45.1777096</v>
      </c>
      <c r="I304" s="1" t="n">
        <v>-22.7331092</v>
      </c>
      <c r="J304" s="1" t="n">
        <v>-45.1221271</v>
      </c>
      <c r="K304" s="1" t="n">
        <v>16.5</v>
      </c>
      <c r="L304" s="1" t="n">
        <v>15.1</v>
      </c>
      <c r="M304" s="1" t="s">
        <v>17</v>
      </c>
    </row>
    <row r="305" customFormat="false" ht="15" hidden="true" customHeight="false" outlineLevel="0" collapsed="false">
      <c r="A305" s="1" t="n">
        <v>0</v>
      </c>
      <c r="B305" s="1" t="n">
        <v>0</v>
      </c>
      <c r="C305" s="1" t="s">
        <v>82</v>
      </c>
      <c r="D305" s="1" t="s">
        <v>401</v>
      </c>
      <c r="E305" s="1" t="s">
        <v>415</v>
      </c>
      <c r="F305" s="1" t="s">
        <v>16</v>
      </c>
      <c r="G305" s="1" t="n">
        <v>-23.052545</v>
      </c>
      <c r="H305" s="1" t="n">
        <v>-46.359374</v>
      </c>
      <c r="I305" s="1" t="n">
        <v>-22.59852</v>
      </c>
      <c r="J305" s="1" t="n">
        <v>-46.5296166</v>
      </c>
      <c r="K305" s="1" t="n">
        <v>71</v>
      </c>
      <c r="L305" s="1" t="n">
        <v>70.8</v>
      </c>
      <c r="M305" s="1" t="s">
        <v>17</v>
      </c>
    </row>
    <row r="306" customFormat="false" ht="15" hidden="true" customHeight="false" outlineLevel="0" collapsed="false">
      <c r="A306" s="1" t="n">
        <v>0</v>
      </c>
      <c r="B306" s="1" t="n">
        <v>0</v>
      </c>
      <c r="C306" s="1" t="s">
        <v>13</v>
      </c>
      <c r="D306" s="1" t="s">
        <v>80</v>
      </c>
      <c r="E306" s="1" t="s">
        <v>416</v>
      </c>
      <c r="F306" s="1" t="s">
        <v>16</v>
      </c>
      <c r="G306" s="1" t="n">
        <v>-21.0969623</v>
      </c>
      <c r="H306" s="1" t="n">
        <v>-48.6652131</v>
      </c>
      <c r="I306" s="1" t="n">
        <v>-21.1407509</v>
      </c>
      <c r="J306" s="1" t="n">
        <v>-48.9754937</v>
      </c>
      <c r="K306" s="1" t="n">
        <v>41.1</v>
      </c>
      <c r="L306" s="1" t="n">
        <v>42.6</v>
      </c>
      <c r="M306" s="1" t="s">
        <v>17</v>
      </c>
    </row>
    <row r="307" customFormat="false" ht="15" hidden="true" customHeight="false" outlineLevel="0" collapsed="false">
      <c r="A307" s="1" t="n">
        <v>0</v>
      </c>
      <c r="B307" s="1" t="n">
        <v>0</v>
      </c>
      <c r="C307" s="1" t="s">
        <v>106</v>
      </c>
      <c r="D307" s="1" t="s">
        <v>417</v>
      </c>
      <c r="E307" s="1" t="s">
        <v>418</v>
      </c>
      <c r="F307" s="1" t="s">
        <v>16</v>
      </c>
      <c r="G307" s="1" t="n">
        <v>-23.3972146</v>
      </c>
      <c r="H307" s="1" t="n">
        <v>-47.0025661</v>
      </c>
      <c r="I307" s="1" t="n">
        <v>-23.5375412468293</v>
      </c>
      <c r="J307" s="1" t="n">
        <v>-46.9426954608781</v>
      </c>
      <c r="K307" s="1" t="n">
        <v>33.3</v>
      </c>
      <c r="L307" s="1" t="n">
        <v>32.8</v>
      </c>
      <c r="M307" s="1" t="s">
        <v>17</v>
      </c>
    </row>
    <row r="308" customFormat="false" ht="15" hidden="true" customHeight="false" outlineLevel="0" collapsed="false">
      <c r="A308" s="1" t="n">
        <v>0</v>
      </c>
      <c r="B308" s="1" t="n">
        <v>1</v>
      </c>
      <c r="C308" s="1" t="s">
        <v>30</v>
      </c>
      <c r="D308" s="1" t="s">
        <v>30</v>
      </c>
      <c r="E308" s="1" t="s">
        <v>419</v>
      </c>
      <c r="F308" s="1" t="s">
        <v>32</v>
      </c>
      <c r="G308" s="1" t="n">
        <v>-22.4136363</v>
      </c>
      <c r="H308" s="1" t="n">
        <v>-49.1351479</v>
      </c>
      <c r="I308" s="1" t="n">
        <v>-22.3088056</v>
      </c>
      <c r="J308" s="1" t="n">
        <v>-49.0897729</v>
      </c>
      <c r="K308" s="1" t="n">
        <v>15.2</v>
      </c>
      <c r="L308" s="1" t="n">
        <v>21.2</v>
      </c>
      <c r="M308" s="1" t="s">
        <v>17</v>
      </c>
    </row>
    <row r="309" customFormat="false" ht="15" hidden="true" customHeight="false" outlineLevel="0" collapsed="false">
      <c r="A309" s="1" t="n">
        <v>0</v>
      </c>
      <c r="B309" s="1" t="n">
        <v>1</v>
      </c>
      <c r="C309" s="1" t="s">
        <v>30</v>
      </c>
      <c r="D309" s="1" t="s">
        <v>30</v>
      </c>
      <c r="E309" s="1" t="s">
        <v>419</v>
      </c>
      <c r="F309" s="1" t="s">
        <v>33</v>
      </c>
      <c r="G309" s="1" t="n">
        <v>-22.4136363</v>
      </c>
      <c r="H309" s="1" t="n">
        <v>-49.1351479</v>
      </c>
      <c r="I309" s="1" t="n">
        <v>-22.3305675</v>
      </c>
      <c r="J309" s="1" t="n">
        <v>-49.0775289</v>
      </c>
      <c r="K309" s="1" t="n">
        <v>12.4</v>
      </c>
      <c r="L309" s="1" t="n">
        <v>15.7</v>
      </c>
      <c r="M309" s="1" t="s">
        <v>17</v>
      </c>
    </row>
    <row r="310" customFormat="false" ht="15" hidden="true" customHeight="false" outlineLevel="0" collapsed="false">
      <c r="A310" s="1" t="n">
        <v>0</v>
      </c>
      <c r="B310" s="1" t="n">
        <v>0</v>
      </c>
      <c r="C310" s="1" t="s">
        <v>103</v>
      </c>
      <c r="D310" s="1" t="s">
        <v>104</v>
      </c>
      <c r="E310" s="1" t="s">
        <v>420</v>
      </c>
      <c r="F310" s="1" t="s">
        <v>16</v>
      </c>
      <c r="G310" s="1" t="n">
        <v>-21.013203</v>
      </c>
      <c r="H310" s="1" t="n">
        <v>-48.220951</v>
      </c>
      <c r="I310" s="1" t="n">
        <v>-21.1197143</v>
      </c>
      <c r="J310" s="1" t="n">
        <v>-48.0042389</v>
      </c>
      <c r="K310" s="1" t="n">
        <v>31.1</v>
      </c>
      <c r="L310" s="1" t="n">
        <v>26.6</v>
      </c>
      <c r="M310" s="1" t="s">
        <v>17</v>
      </c>
    </row>
    <row r="311" customFormat="false" ht="15" hidden="true" customHeight="false" outlineLevel="0" collapsed="false">
      <c r="A311" s="1" t="n">
        <v>0</v>
      </c>
      <c r="B311" s="1" t="n">
        <v>0</v>
      </c>
      <c r="C311" s="1" t="s">
        <v>13</v>
      </c>
      <c r="D311" s="1" t="s">
        <v>14</v>
      </c>
      <c r="E311" s="1" t="s">
        <v>421</v>
      </c>
      <c r="F311" s="1" t="s">
        <v>16</v>
      </c>
      <c r="G311" s="1" t="n">
        <v>-21.0336277</v>
      </c>
      <c r="H311" s="1" t="n">
        <v>-49.9284517</v>
      </c>
      <c r="I311" s="1" t="n">
        <v>-21.0529053</v>
      </c>
      <c r="J311" s="1" t="n">
        <v>-49.6891417</v>
      </c>
      <c r="K311" s="1" t="n">
        <v>32.5</v>
      </c>
      <c r="L311" s="1" t="n">
        <v>31.3</v>
      </c>
      <c r="M311" s="1" t="s">
        <v>17</v>
      </c>
    </row>
    <row r="312" customFormat="false" ht="15" hidden="true" customHeight="false" outlineLevel="0" collapsed="false">
      <c r="A312" s="1" t="n">
        <v>0</v>
      </c>
      <c r="B312" s="1" t="n">
        <v>0</v>
      </c>
      <c r="C312" s="1" t="s">
        <v>112</v>
      </c>
      <c r="D312" s="1" t="s">
        <v>112</v>
      </c>
      <c r="E312" s="1" t="s">
        <v>422</v>
      </c>
      <c r="F312" s="1" t="s">
        <v>16</v>
      </c>
      <c r="G312" s="1" t="n">
        <v>-22.6328334</v>
      </c>
      <c r="H312" s="1" t="n">
        <v>-50.2049642</v>
      </c>
      <c r="I312" s="1" t="n">
        <v>-22.6475712</v>
      </c>
      <c r="J312" s="1" t="n">
        <v>-50.4055842</v>
      </c>
      <c r="K312" s="1" t="n">
        <v>22</v>
      </c>
      <c r="L312" s="1" t="n">
        <v>24</v>
      </c>
      <c r="M312" s="1" t="s">
        <v>17</v>
      </c>
    </row>
    <row r="313" customFormat="false" ht="15" hidden="true" customHeight="false" outlineLevel="0" collapsed="false">
      <c r="A313" s="1" t="n">
        <v>0</v>
      </c>
      <c r="B313" s="1" t="n">
        <v>0</v>
      </c>
      <c r="C313" s="1" t="s">
        <v>84</v>
      </c>
      <c r="D313" s="1" t="s">
        <v>288</v>
      </c>
      <c r="E313" s="1" t="s">
        <v>423</v>
      </c>
      <c r="F313" s="1" t="s">
        <v>16</v>
      </c>
      <c r="G313" s="1" t="n">
        <v>-23.5249082</v>
      </c>
      <c r="H313" s="1" t="n">
        <v>-46.3445663</v>
      </c>
      <c r="I313" s="1" t="n">
        <v>-23.5380075282902</v>
      </c>
      <c r="J313" s="1" t="n">
        <v>-46.3584959166986</v>
      </c>
      <c r="K313" s="1" t="n">
        <v>4.3</v>
      </c>
      <c r="L313" s="1" t="n">
        <v>7.4</v>
      </c>
      <c r="M313" s="1" t="s">
        <v>17</v>
      </c>
    </row>
    <row r="314" customFormat="false" ht="15" hidden="true" customHeight="false" outlineLevel="0" collapsed="false">
      <c r="A314" s="1" t="n">
        <v>0</v>
      </c>
      <c r="B314" s="1" t="n">
        <v>0</v>
      </c>
      <c r="C314" s="1" t="s">
        <v>13</v>
      </c>
      <c r="D314" s="1" t="s">
        <v>92</v>
      </c>
      <c r="E314" s="1" t="s">
        <v>424</v>
      </c>
      <c r="F314" s="1" t="s">
        <v>16</v>
      </c>
      <c r="G314" s="1" t="n">
        <v>-20.7836955</v>
      </c>
      <c r="H314" s="1" t="n">
        <v>-49.8149752</v>
      </c>
      <c r="I314" s="1" t="n">
        <v>-20.6278349</v>
      </c>
      <c r="J314" s="1" t="n">
        <v>-49.6518627</v>
      </c>
      <c r="K314" s="1" t="n">
        <v>31.2</v>
      </c>
      <c r="L314" s="1" t="n">
        <v>32.3</v>
      </c>
      <c r="M314" s="1" t="s">
        <v>17</v>
      </c>
    </row>
    <row r="315" customFormat="false" ht="15" hidden="false" customHeight="false" outlineLevel="0" collapsed="false">
      <c r="A315" s="1" t="n">
        <v>0</v>
      </c>
      <c r="B315" s="1" t="n">
        <v>1</v>
      </c>
      <c r="C315" s="1" t="s">
        <v>49</v>
      </c>
      <c r="D315" s="1" t="s">
        <v>49</v>
      </c>
      <c r="E315" s="1" t="s">
        <v>425</v>
      </c>
      <c r="F315" s="1" t="s">
        <v>51</v>
      </c>
      <c r="G315" s="1" t="n">
        <v>-22.1088293</v>
      </c>
      <c r="H315" s="1" t="n">
        <v>-50.1720753</v>
      </c>
      <c r="I315" s="1" t="n">
        <v>-22.227114</v>
      </c>
      <c r="J315" s="1" t="n">
        <v>-49.9359818</v>
      </c>
      <c r="K315" s="1" t="n">
        <v>31.5</v>
      </c>
      <c r="L315" s="1" t="n">
        <v>28.3</v>
      </c>
      <c r="M315" s="1" t="s">
        <v>17</v>
      </c>
    </row>
    <row r="316" customFormat="false" ht="15" hidden="false" customHeight="false" outlineLevel="0" collapsed="false">
      <c r="A316" s="1" t="n">
        <v>0</v>
      </c>
      <c r="B316" s="1" t="n">
        <v>1</v>
      </c>
      <c r="C316" s="1" t="s">
        <v>49</v>
      </c>
      <c r="D316" s="1" t="s">
        <v>49</v>
      </c>
      <c r="E316" s="1" t="s">
        <v>425</v>
      </c>
      <c r="F316" s="1" t="s">
        <v>52</v>
      </c>
      <c r="G316" s="1" t="n">
        <v>-22.1088293</v>
      </c>
      <c r="H316" s="1" t="n">
        <v>-50.1720753</v>
      </c>
      <c r="I316" s="1" t="n">
        <v>-22.224027</v>
      </c>
      <c r="J316" s="1" t="n">
        <v>-49.9472085</v>
      </c>
      <c r="K316" s="1" t="n">
        <v>30.2</v>
      </c>
      <c r="L316" s="1" t="n">
        <v>25.9</v>
      </c>
      <c r="M316" s="1" t="s">
        <v>17</v>
      </c>
    </row>
    <row r="317" customFormat="false" ht="15" hidden="true" customHeight="false" outlineLevel="0" collapsed="false">
      <c r="A317" s="1" t="n">
        <v>0</v>
      </c>
      <c r="B317" s="1" t="n">
        <v>0</v>
      </c>
      <c r="C317" s="1" t="s">
        <v>30</v>
      </c>
      <c r="D317" s="1" t="s">
        <v>149</v>
      </c>
      <c r="E317" s="1" t="s">
        <v>426</v>
      </c>
      <c r="F317" s="1" t="s">
        <v>16</v>
      </c>
      <c r="G317" s="1" t="n">
        <v>-21.7379814</v>
      </c>
      <c r="H317" s="1" t="n">
        <v>-49.3584449</v>
      </c>
      <c r="I317" s="1" t="n">
        <v>-21.6721141</v>
      </c>
      <c r="J317" s="1" t="n">
        <v>-49.7555107</v>
      </c>
      <c r="K317" s="1" t="n">
        <v>60.5</v>
      </c>
      <c r="L317" s="1" t="n">
        <v>45</v>
      </c>
      <c r="M317" s="1" t="s">
        <v>17</v>
      </c>
    </row>
    <row r="318" customFormat="false" ht="15" hidden="true" customHeight="false" outlineLevel="0" collapsed="false">
      <c r="A318" s="1" t="n">
        <v>0</v>
      </c>
      <c r="B318" s="1" t="n">
        <v>0</v>
      </c>
      <c r="C318" s="1" t="s">
        <v>103</v>
      </c>
      <c r="D318" s="1" t="s">
        <v>104</v>
      </c>
      <c r="E318" s="1" t="s">
        <v>427</v>
      </c>
      <c r="F318" s="1" t="s">
        <v>16</v>
      </c>
      <c r="G318" s="1" t="n">
        <v>-21.0239714</v>
      </c>
      <c r="H318" s="1" t="n">
        <v>-48.0393457</v>
      </c>
      <c r="I318" s="1" t="n">
        <v>-21.1197143</v>
      </c>
      <c r="J318" s="1" t="n">
        <v>-48.0042389</v>
      </c>
      <c r="K318" s="1" t="n">
        <v>15.8</v>
      </c>
      <c r="L318" s="1" t="n">
        <v>17.1</v>
      </c>
      <c r="M318" s="1" t="s">
        <v>17</v>
      </c>
    </row>
    <row r="319" customFormat="false" ht="15" hidden="true" customHeight="false" outlineLevel="0" collapsed="false">
      <c r="A319" s="1" t="n">
        <v>0</v>
      </c>
      <c r="B319" s="1" t="n">
        <v>0</v>
      </c>
      <c r="C319" s="1" t="s">
        <v>64</v>
      </c>
      <c r="D319" s="1" t="s">
        <v>64</v>
      </c>
      <c r="E319" s="1" t="s">
        <v>428</v>
      </c>
      <c r="F319" s="1" t="s">
        <v>16</v>
      </c>
      <c r="G319" s="1" t="n">
        <v>-20.44071</v>
      </c>
      <c r="H319" s="1" t="n">
        <v>-50.5235329</v>
      </c>
      <c r="I319" s="1" t="n">
        <v>-20.2667765</v>
      </c>
      <c r="J319" s="1" t="n">
        <v>-50.5425068</v>
      </c>
      <c r="K319" s="1" t="n">
        <v>25.5</v>
      </c>
      <c r="L319" s="1" t="n">
        <v>24.5</v>
      </c>
      <c r="M319" s="1" t="s">
        <v>17</v>
      </c>
    </row>
    <row r="320" customFormat="false" ht="15" hidden="true" customHeight="false" outlineLevel="0" collapsed="false">
      <c r="A320" s="1" t="n">
        <v>0</v>
      </c>
      <c r="B320" s="1" t="n">
        <v>0</v>
      </c>
      <c r="C320" s="1" t="s">
        <v>13</v>
      </c>
      <c r="D320" s="1" t="s">
        <v>46</v>
      </c>
      <c r="E320" s="1" t="s">
        <v>429</v>
      </c>
      <c r="F320" s="1" t="s">
        <v>16</v>
      </c>
      <c r="G320" s="1" t="n">
        <v>-20.1833464</v>
      </c>
      <c r="H320" s="1" t="n">
        <v>-49.7031406</v>
      </c>
      <c r="I320" s="1" t="n">
        <v>-20.4262217</v>
      </c>
      <c r="J320" s="1" t="n">
        <v>-49.9787386</v>
      </c>
      <c r="K320" s="1" t="n">
        <v>52.4</v>
      </c>
      <c r="L320" s="1" t="n">
        <v>49.3</v>
      </c>
      <c r="M320" s="1" t="s">
        <v>17</v>
      </c>
    </row>
    <row r="321" customFormat="false" ht="15" hidden="true" customHeight="false" outlineLevel="0" collapsed="false">
      <c r="A321" s="1" t="n">
        <v>0</v>
      </c>
      <c r="B321" s="1" t="n">
        <v>0</v>
      </c>
      <c r="C321" s="1" t="s">
        <v>64</v>
      </c>
      <c r="D321" s="1" t="s">
        <v>270</v>
      </c>
      <c r="E321" s="1" t="s">
        <v>430</v>
      </c>
      <c r="F321" s="1" t="s">
        <v>16</v>
      </c>
      <c r="G321" s="1" t="n">
        <v>-19.9427771</v>
      </c>
      <c r="H321" s="1" t="n">
        <v>-50.5372875</v>
      </c>
      <c r="I321" s="1" t="n">
        <v>-20.0046951</v>
      </c>
      <c r="J321" s="1" t="n">
        <v>-50.3707862</v>
      </c>
      <c r="K321" s="1" t="n">
        <v>22</v>
      </c>
      <c r="L321" s="1" t="n">
        <v>22.1</v>
      </c>
      <c r="M321" s="1" t="s">
        <v>17</v>
      </c>
    </row>
    <row r="322" customFormat="false" ht="15" hidden="true" customHeight="false" outlineLevel="0" collapsed="false">
      <c r="A322" s="1" t="n">
        <v>0</v>
      </c>
      <c r="B322" s="1" t="n">
        <v>0</v>
      </c>
      <c r="C322" s="1" t="s">
        <v>24</v>
      </c>
      <c r="D322" s="1" t="s">
        <v>24</v>
      </c>
      <c r="E322" s="1" t="s">
        <v>431</v>
      </c>
      <c r="F322" s="1" t="s">
        <v>16</v>
      </c>
      <c r="G322" s="1" t="n">
        <v>-23.17615</v>
      </c>
      <c r="H322" s="1" t="n">
        <v>-48.119464</v>
      </c>
      <c r="I322" s="1" t="n">
        <v>-22.8913439388248</v>
      </c>
      <c r="J322" s="1" t="n">
        <v>-48.4962954591084</v>
      </c>
      <c r="K322" s="1" t="n">
        <v>84.4</v>
      </c>
      <c r="L322" s="1" t="n">
        <v>63.5</v>
      </c>
      <c r="M322" s="1" t="s">
        <v>17</v>
      </c>
    </row>
    <row r="323" customFormat="false" ht="15" hidden="true" customHeight="false" outlineLevel="0" collapsed="false">
      <c r="A323" s="1" t="n">
        <v>0</v>
      </c>
      <c r="B323" s="1" t="n">
        <v>0</v>
      </c>
      <c r="C323" s="1" t="s">
        <v>34</v>
      </c>
      <c r="D323" s="1" t="s">
        <v>34</v>
      </c>
      <c r="E323" s="1" t="s">
        <v>432</v>
      </c>
      <c r="F323" s="1" t="s">
        <v>16</v>
      </c>
      <c r="G323" s="1" t="n">
        <v>-23.2110713</v>
      </c>
      <c r="H323" s="1" t="n">
        <v>-47.5247163</v>
      </c>
      <c r="I323" s="1" t="n">
        <v>-23.5178154</v>
      </c>
      <c r="J323" s="1" t="n">
        <v>-47.4531223</v>
      </c>
      <c r="K323" s="1" t="n">
        <v>39.3</v>
      </c>
      <c r="L323" s="1" t="n">
        <v>42.6</v>
      </c>
      <c r="M323" s="1" t="s">
        <v>17</v>
      </c>
    </row>
    <row r="324" customFormat="false" ht="15" hidden="true" customHeight="false" outlineLevel="0" collapsed="false">
      <c r="A324" s="1" t="n">
        <v>0</v>
      </c>
      <c r="B324" s="1" t="n">
        <v>0</v>
      </c>
      <c r="C324" s="1" t="s">
        <v>61</v>
      </c>
      <c r="D324" s="1" t="s">
        <v>62</v>
      </c>
      <c r="E324" s="1" t="s">
        <v>433</v>
      </c>
      <c r="F324" s="1" t="s">
        <v>16</v>
      </c>
      <c r="G324" s="1" t="n">
        <v>-22.8377227</v>
      </c>
      <c r="H324" s="1" t="n">
        <v>-45.2565239</v>
      </c>
      <c r="I324" s="1" t="n">
        <v>-22.8217468</v>
      </c>
      <c r="J324" s="1" t="n">
        <v>-45.1912082</v>
      </c>
      <c r="K324" s="1" t="n">
        <v>9.6</v>
      </c>
      <c r="L324" s="1" t="n">
        <v>12.6</v>
      </c>
      <c r="M324" s="1" t="s">
        <v>17</v>
      </c>
    </row>
    <row r="325" customFormat="false" ht="15" hidden="true" customHeight="false" outlineLevel="0" collapsed="false">
      <c r="A325" s="1" t="n">
        <v>0</v>
      </c>
      <c r="B325" s="1" t="n">
        <v>0</v>
      </c>
      <c r="C325" s="1" t="s">
        <v>49</v>
      </c>
      <c r="D325" s="1" t="s">
        <v>228</v>
      </c>
      <c r="E325" s="1" t="s">
        <v>434</v>
      </c>
      <c r="F325" s="1" t="s">
        <v>16</v>
      </c>
      <c r="G325" s="1" t="n">
        <v>-21.8537103</v>
      </c>
      <c r="H325" s="1" t="n">
        <v>-51.0862052</v>
      </c>
      <c r="I325" s="1" t="n">
        <v>-21.6926132757716</v>
      </c>
      <c r="J325" s="1" t="n">
        <v>-51.0706469456515</v>
      </c>
      <c r="K325" s="1" t="n">
        <v>21.2</v>
      </c>
      <c r="L325" s="1" t="n">
        <v>25.3</v>
      </c>
      <c r="M325" s="1" t="s">
        <v>17</v>
      </c>
    </row>
    <row r="326" customFormat="false" ht="15" hidden="true" customHeight="false" outlineLevel="0" collapsed="false">
      <c r="A326" s="1" t="n">
        <v>0</v>
      </c>
      <c r="B326" s="1" t="n">
        <v>0</v>
      </c>
      <c r="C326" s="1" t="s">
        <v>103</v>
      </c>
      <c r="D326" s="1" t="s">
        <v>103</v>
      </c>
      <c r="E326" s="1" t="s">
        <v>435</v>
      </c>
      <c r="F326" s="1" t="s">
        <v>16</v>
      </c>
      <c r="G326" s="1" t="n">
        <v>-21.3597815</v>
      </c>
      <c r="H326" s="1" t="n">
        <v>-48.0746603</v>
      </c>
      <c r="I326" s="1" t="n">
        <v>-21.1705705</v>
      </c>
      <c r="J326" s="1" t="n">
        <v>-47.8495501</v>
      </c>
      <c r="K326" s="1" t="n">
        <v>34.3</v>
      </c>
      <c r="L326" s="1" t="n">
        <v>34.3</v>
      </c>
      <c r="M326" s="1" t="s">
        <v>17</v>
      </c>
    </row>
    <row r="327" customFormat="false" ht="15" hidden="true" customHeight="false" outlineLevel="0" collapsed="false">
      <c r="A327" s="1" t="n">
        <v>0</v>
      </c>
      <c r="B327" s="1" t="n">
        <v>0</v>
      </c>
      <c r="C327" s="1" t="s">
        <v>24</v>
      </c>
      <c r="D327" s="1" t="s">
        <v>24</v>
      </c>
      <c r="E327" s="1" t="s">
        <v>436</v>
      </c>
      <c r="F327" s="1" t="s">
        <v>16</v>
      </c>
      <c r="G327" s="1" t="n">
        <v>-22.809027</v>
      </c>
      <c r="H327" s="1" t="n">
        <v>-48.6656779</v>
      </c>
      <c r="I327" s="1" t="n">
        <v>-22.8913439388248</v>
      </c>
      <c r="J327" s="1" t="n">
        <v>-48.4962954591084</v>
      </c>
      <c r="K327" s="1" t="n">
        <v>34.1</v>
      </c>
      <c r="L327" s="1" t="n">
        <v>28.4</v>
      </c>
      <c r="M327" s="1" t="s">
        <v>17</v>
      </c>
    </row>
    <row r="328" customFormat="false" ht="15" hidden="true" customHeight="false" outlineLevel="0" collapsed="false">
      <c r="A328" s="1" t="n">
        <v>0</v>
      </c>
      <c r="B328" s="1" t="n">
        <v>0</v>
      </c>
      <c r="C328" s="1" t="s">
        <v>30</v>
      </c>
      <c r="D328" s="1" t="s">
        <v>90</v>
      </c>
      <c r="E328" s="1" t="s">
        <v>437</v>
      </c>
      <c r="F328" s="1" t="s">
        <v>16</v>
      </c>
      <c r="G328" s="1" t="n">
        <v>-22.09991</v>
      </c>
      <c r="H328" s="1" t="n">
        <v>-49.438133</v>
      </c>
      <c r="I328" s="1" t="n">
        <v>-21.9993871</v>
      </c>
      <c r="J328" s="1" t="n">
        <v>-49.4574733</v>
      </c>
      <c r="K328" s="1" t="n">
        <v>19</v>
      </c>
      <c r="L328" s="1" t="n">
        <v>17.6</v>
      </c>
      <c r="M328" s="1" t="s">
        <v>17</v>
      </c>
    </row>
    <row r="329" customFormat="false" ht="15" hidden="true" customHeight="false" outlineLevel="0" collapsed="false">
      <c r="A329" s="1" t="n">
        <v>0</v>
      </c>
      <c r="B329" s="1" t="n">
        <v>1</v>
      </c>
      <c r="C329" s="1" t="s">
        <v>18</v>
      </c>
      <c r="D329" s="1" t="s">
        <v>18</v>
      </c>
      <c r="E329" s="1" t="s">
        <v>438</v>
      </c>
      <c r="F329" s="1" t="s">
        <v>16</v>
      </c>
      <c r="G329" s="1" t="n">
        <v>-22.0064609</v>
      </c>
      <c r="H329" s="1" t="n">
        <v>-51.5542973</v>
      </c>
      <c r="I329" s="1" t="n">
        <v>-22.1321613052015</v>
      </c>
      <c r="J329" s="1" t="n">
        <v>-51.4073413591303</v>
      </c>
      <c r="K329" s="1" t="n">
        <v>25</v>
      </c>
      <c r="L329" s="1" t="n">
        <v>22.9</v>
      </c>
      <c r="M329" s="1" t="s">
        <v>17</v>
      </c>
    </row>
    <row r="330" customFormat="false" ht="15" hidden="true" customHeight="false" outlineLevel="0" collapsed="false">
      <c r="A330" s="1" t="n">
        <v>0</v>
      </c>
      <c r="B330" s="1" t="n">
        <v>0</v>
      </c>
      <c r="C330" s="1" t="s">
        <v>30</v>
      </c>
      <c r="D330" s="1" t="s">
        <v>149</v>
      </c>
      <c r="E330" s="1" t="s">
        <v>439</v>
      </c>
      <c r="F330" s="1" t="s">
        <v>16</v>
      </c>
      <c r="G330" s="1" t="n">
        <v>-21.5404913</v>
      </c>
      <c r="H330" s="1" t="n">
        <v>-49.8574709</v>
      </c>
      <c r="I330" s="1" t="n">
        <v>-21.6721141</v>
      </c>
      <c r="J330" s="1" t="n">
        <v>-49.7555107</v>
      </c>
      <c r="K330" s="1" t="n">
        <v>25.3</v>
      </c>
      <c r="L330" s="1" t="n">
        <v>22.1</v>
      </c>
      <c r="M330" s="1" t="s">
        <v>17</v>
      </c>
    </row>
    <row r="331" customFormat="false" ht="15" hidden="true" customHeight="false" outlineLevel="0" collapsed="false">
      <c r="A331" s="1" t="n">
        <v>0</v>
      </c>
      <c r="B331" s="1" t="n">
        <v>0</v>
      </c>
      <c r="C331" s="1" t="s">
        <v>34</v>
      </c>
      <c r="D331" s="1" t="s">
        <v>121</v>
      </c>
      <c r="E331" s="1" t="s">
        <v>440</v>
      </c>
      <c r="F331" s="1" t="s">
        <v>16</v>
      </c>
      <c r="G331" s="1" t="n">
        <v>-23.299332</v>
      </c>
      <c r="H331" s="1" t="n">
        <v>-48.054657</v>
      </c>
      <c r="I331" s="1" t="n">
        <v>-23.3522859</v>
      </c>
      <c r="J331" s="1" t="n">
        <v>-47.8445248</v>
      </c>
      <c r="K331" s="1" t="n">
        <v>24.5</v>
      </c>
      <c r="L331" s="1" t="n">
        <v>31.1</v>
      </c>
      <c r="M331" s="1" t="s">
        <v>17</v>
      </c>
    </row>
    <row r="332" customFormat="false" ht="15" hidden="true" customHeight="false" outlineLevel="0" collapsed="false">
      <c r="A332" s="1" t="n">
        <v>0</v>
      </c>
      <c r="B332" s="1" t="n">
        <v>0</v>
      </c>
      <c r="C332" s="1" t="s">
        <v>18</v>
      </c>
      <c r="D332" s="1" t="s">
        <v>307</v>
      </c>
      <c r="E332" s="1" t="s">
        <v>441</v>
      </c>
      <c r="F332" s="1" t="s">
        <v>16</v>
      </c>
      <c r="G332" s="1" t="n">
        <v>-22.2470977</v>
      </c>
      <c r="H332" s="1" t="n">
        <v>-50.7003624</v>
      </c>
      <c r="I332" s="1" t="n">
        <v>-22.2335045</v>
      </c>
      <c r="J332" s="1" t="n">
        <v>-50.8967191</v>
      </c>
      <c r="K332" s="1" t="n">
        <v>22.4</v>
      </c>
      <c r="L332" s="1" t="n">
        <v>23</v>
      </c>
      <c r="M332" s="1" t="s">
        <v>17</v>
      </c>
    </row>
    <row r="333" customFormat="false" ht="15" hidden="true" customHeight="false" outlineLevel="0" collapsed="false">
      <c r="A333" s="1" t="n">
        <v>0</v>
      </c>
      <c r="B333" s="1" t="n">
        <v>0</v>
      </c>
      <c r="C333" s="1" t="s">
        <v>49</v>
      </c>
      <c r="D333" s="1" t="s">
        <v>74</v>
      </c>
      <c r="E333" s="1" t="s">
        <v>442</v>
      </c>
      <c r="F333" s="1" t="s">
        <v>16</v>
      </c>
      <c r="G333" s="1" t="n">
        <v>-21.7991405</v>
      </c>
      <c r="H333" s="1" t="n">
        <v>-50.2392786</v>
      </c>
      <c r="I333" s="1" t="n">
        <v>-21.9239111</v>
      </c>
      <c r="J333" s="1" t="n">
        <v>-50.5180547</v>
      </c>
      <c r="K333" s="1" t="n">
        <v>35.6</v>
      </c>
      <c r="L333" s="1" t="n">
        <v>35.8</v>
      </c>
      <c r="M333" s="1" t="s">
        <v>17</v>
      </c>
    </row>
    <row r="334" customFormat="false" ht="15" hidden="true" customHeight="false" outlineLevel="0" collapsed="false">
      <c r="A334" s="1" t="n">
        <v>0</v>
      </c>
      <c r="B334" s="1" t="n">
        <v>0</v>
      </c>
      <c r="C334" s="1" t="s">
        <v>61</v>
      </c>
      <c r="D334" s="1" t="s">
        <v>77</v>
      </c>
      <c r="E334" s="1" t="s">
        <v>443</v>
      </c>
      <c r="F334" s="1" t="s">
        <v>16</v>
      </c>
      <c r="G334" s="1" t="n">
        <v>-22.5371881</v>
      </c>
      <c r="H334" s="1" t="n">
        <v>-44.7752585</v>
      </c>
      <c r="I334" s="1" t="n">
        <v>-22.5754109</v>
      </c>
      <c r="J334" s="1" t="n">
        <v>-44.9635404</v>
      </c>
      <c r="K334" s="1" t="n">
        <v>24.3</v>
      </c>
      <c r="L334" s="1" t="n">
        <v>25.7</v>
      </c>
      <c r="M334" s="1" t="s">
        <v>17</v>
      </c>
    </row>
    <row r="335" customFormat="false" ht="15" hidden="false" customHeight="false" outlineLevel="0" collapsed="false">
      <c r="A335" s="1" t="n">
        <v>0</v>
      </c>
      <c r="B335" s="1" t="n">
        <v>1</v>
      </c>
      <c r="C335" s="1" t="s">
        <v>49</v>
      </c>
      <c r="D335" s="1" t="s">
        <v>49</v>
      </c>
      <c r="E335" s="1" t="s">
        <v>444</v>
      </c>
      <c r="F335" s="1" t="s">
        <v>51</v>
      </c>
      <c r="G335" s="1" t="n">
        <v>-22.0705513</v>
      </c>
      <c r="H335" s="1" t="n">
        <v>-50.308652</v>
      </c>
      <c r="I335" s="1" t="n">
        <v>-22.227114</v>
      </c>
      <c r="J335" s="1" t="n">
        <v>-49.9359818</v>
      </c>
      <c r="K335" s="1" t="n">
        <v>49.3</v>
      </c>
      <c r="L335" s="1" t="n">
        <v>43.1</v>
      </c>
      <c r="M335" s="1" t="s">
        <v>17</v>
      </c>
    </row>
    <row r="336" customFormat="false" ht="15" hidden="false" customHeight="false" outlineLevel="0" collapsed="false">
      <c r="A336" s="1" t="n">
        <v>0</v>
      </c>
      <c r="B336" s="1" t="n">
        <v>1</v>
      </c>
      <c r="C336" s="1" t="s">
        <v>49</v>
      </c>
      <c r="D336" s="1" t="s">
        <v>49</v>
      </c>
      <c r="E336" s="1" t="s">
        <v>444</v>
      </c>
      <c r="F336" s="1" t="s">
        <v>52</v>
      </c>
      <c r="G336" s="1" t="n">
        <v>-22.0705513</v>
      </c>
      <c r="H336" s="1" t="n">
        <v>-50.308652</v>
      </c>
      <c r="I336" s="1" t="n">
        <v>-22.224027</v>
      </c>
      <c r="J336" s="1" t="n">
        <v>-49.9472085</v>
      </c>
      <c r="K336" s="1" t="n">
        <v>48</v>
      </c>
      <c r="L336" s="1" t="n">
        <v>40.7</v>
      </c>
      <c r="M336" s="1" t="s">
        <v>17</v>
      </c>
    </row>
    <row r="337" customFormat="false" ht="15" hidden="true" customHeight="false" outlineLevel="0" collapsed="false">
      <c r="A337" s="1" t="n">
        <v>0</v>
      </c>
      <c r="B337" s="1" t="n">
        <v>0</v>
      </c>
      <c r="C337" s="1" t="s">
        <v>27</v>
      </c>
      <c r="D337" s="1" t="s">
        <v>209</v>
      </c>
      <c r="E337" s="1" t="s">
        <v>445</v>
      </c>
      <c r="F337" s="1" t="s">
        <v>16</v>
      </c>
      <c r="G337" s="1" t="n">
        <v>-23.0143559</v>
      </c>
      <c r="H337" s="1" t="n">
        <v>-47.5306721</v>
      </c>
      <c r="I337" s="1" t="n">
        <v>-22.9985529583081</v>
      </c>
      <c r="J337" s="1" t="n">
        <v>-47.4929512050703</v>
      </c>
      <c r="K337" s="1" t="n">
        <v>5.7</v>
      </c>
      <c r="L337" s="1" t="n">
        <v>6.8</v>
      </c>
      <c r="M337" s="1" t="s">
        <v>17</v>
      </c>
    </row>
    <row r="338" customFormat="false" ht="15" hidden="true" customHeight="false" outlineLevel="0" collapsed="false">
      <c r="A338" s="1" t="n">
        <v>0</v>
      </c>
      <c r="B338" s="1" t="n">
        <v>1</v>
      </c>
      <c r="C338" s="1" t="s">
        <v>61</v>
      </c>
      <c r="D338" s="1" t="s">
        <v>61</v>
      </c>
      <c r="E338" s="1" t="s">
        <v>446</v>
      </c>
      <c r="F338" s="1" t="s">
        <v>16</v>
      </c>
      <c r="G338" s="1" t="n">
        <v>-23.2803652</v>
      </c>
      <c r="H338" s="1" t="n">
        <v>-45.5345747</v>
      </c>
      <c r="I338" s="1" t="n">
        <v>-23.0300597</v>
      </c>
      <c r="J338" s="1" t="n">
        <v>-45.5673225</v>
      </c>
      <c r="K338" s="1" t="n">
        <v>38.1</v>
      </c>
      <c r="L338" s="1" t="n">
        <v>42</v>
      </c>
      <c r="M338" s="1" t="s">
        <v>17</v>
      </c>
    </row>
    <row r="339" customFormat="false" ht="15" hidden="true" customHeight="false" outlineLevel="0" collapsed="false">
      <c r="A339" s="1" t="n">
        <v>0</v>
      </c>
      <c r="B339" s="1" t="n">
        <v>1</v>
      </c>
      <c r="C339" s="1" t="s">
        <v>18</v>
      </c>
      <c r="D339" s="1" t="s">
        <v>18</v>
      </c>
      <c r="E339" s="1" t="s">
        <v>447</v>
      </c>
      <c r="F339" s="1" t="s">
        <v>16</v>
      </c>
      <c r="G339" s="1" t="n">
        <v>-22.2191056</v>
      </c>
      <c r="H339" s="1" t="n">
        <v>-51.3034558</v>
      </c>
      <c r="I339" s="1" t="n">
        <v>-22.1321613052015</v>
      </c>
      <c r="J339" s="1" t="n">
        <v>-51.4073413591303</v>
      </c>
      <c r="K339" s="1" t="n">
        <v>20.4</v>
      </c>
      <c r="L339" s="1" t="n">
        <v>19.4</v>
      </c>
      <c r="M339" s="1" t="s">
        <v>17</v>
      </c>
    </row>
    <row r="340" customFormat="false" ht="15" hidden="true" customHeight="false" outlineLevel="0" collapsed="false">
      <c r="A340" s="1" t="n">
        <v>0</v>
      </c>
      <c r="B340" s="1" t="n">
        <v>0</v>
      </c>
      <c r="C340" s="1" t="s">
        <v>30</v>
      </c>
      <c r="D340" s="1" t="s">
        <v>90</v>
      </c>
      <c r="E340" s="1" t="s">
        <v>448</v>
      </c>
      <c r="F340" s="1" t="s">
        <v>16</v>
      </c>
      <c r="G340" s="1" t="n">
        <v>-21.8884118</v>
      </c>
      <c r="H340" s="1" t="n">
        <v>-49.22273</v>
      </c>
      <c r="I340" s="1" t="n">
        <v>-21.9993871</v>
      </c>
      <c r="J340" s="1" t="n">
        <v>-49.4574733</v>
      </c>
      <c r="K340" s="1" t="n">
        <v>29.2</v>
      </c>
      <c r="L340" s="1" t="n">
        <v>24.6</v>
      </c>
      <c r="M340" s="1" t="s">
        <v>17</v>
      </c>
    </row>
    <row r="341" customFormat="false" ht="15" hidden="true" customHeight="false" outlineLevel="0" collapsed="false">
      <c r="A341" s="1" t="n">
        <v>0</v>
      </c>
      <c r="B341" s="1" t="n">
        <v>0</v>
      </c>
      <c r="C341" s="1" t="s">
        <v>68</v>
      </c>
      <c r="D341" s="1" t="s">
        <v>68</v>
      </c>
      <c r="E341" s="1" t="s">
        <v>449</v>
      </c>
      <c r="F341" s="1" t="s">
        <v>16</v>
      </c>
      <c r="G341" s="1" t="n">
        <v>-20.6032343</v>
      </c>
      <c r="H341" s="1" t="n">
        <v>-47.4830912</v>
      </c>
      <c r="I341" s="1" t="n">
        <v>-20.5377516772009</v>
      </c>
      <c r="J341" s="1" t="n">
        <v>-47.3988262744382</v>
      </c>
      <c r="K341" s="1" t="n">
        <v>13.7</v>
      </c>
      <c r="L341" s="1" t="n">
        <v>16.1</v>
      </c>
      <c r="M341" s="1" t="s">
        <v>17</v>
      </c>
    </row>
    <row r="342" customFormat="false" ht="15" hidden="true" customHeight="false" outlineLevel="0" collapsed="false">
      <c r="A342" s="1" t="n">
        <v>0</v>
      </c>
      <c r="B342" s="1" t="n">
        <v>0</v>
      </c>
      <c r="C342" s="1" t="s">
        <v>100</v>
      </c>
      <c r="D342" s="1" t="s">
        <v>101</v>
      </c>
      <c r="E342" s="1" t="s">
        <v>450</v>
      </c>
      <c r="F342" s="1" t="s">
        <v>16</v>
      </c>
      <c r="G342" s="1" t="n">
        <v>-24.6577435</v>
      </c>
      <c r="H342" s="1" t="n">
        <v>-49.0086372</v>
      </c>
      <c r="I342" s="1" t="n">
        <v>-24.5108462</v>
      </c>
      <c r="J342" s="1" t="n">
        <v>-48.8449052</v>
      </c>
      <c r="K342" s="1" t="n">
        <v>32.8</v>
      </c>
      <c r="L342" s="1" t="n">
        <v>59.1</v>
      </c>
      <c r="M342" s="1" t="s">
        <v>17</v>
      </c>
    </row>
    <row r="343" customFormat="false" ht="15" hidden="true" customHeight="false" outlineLevel="0" collapsed="false">
      <c r="A343" s="1" t="n">
        <v>0</v>
      </c>
      <c r="B343" s="1" t="n">
        <v>0</v>
      </c>
      <c r="C343" s="1" t="s">
        <v>54</v>
      </c>
      <c r="D343" s="1" t="s">
        <v>205</v>
      </c>
      <c r="E343" s="1" t="s">
        <v>451</v>
      </c>
      <c r="F343" s="1" t="s">
        <v>16</v>
      </c>
      <c r="G343" s="1" t="n">
        <v>-22.0692867</v>
      </c>
      <c r="H343" s="1" t="n">
        <v>-48.1781765</v>
      </c>
      <c r="I343" s="1" t="n">
        <v>-22.0112277</v>
      </c>
      <c r="J343" s="1" t="n">
        <v>-47.9010162</v>
      </c>
      <c r="K343" s="1" t="n">
        <v>37</v>
      </c>
      <c r="L343" s="1" t="n">
        <v>42.3</v>
      </c>
      <c r="M343" s="1" t="s">
        <v>17</v>
      </c>
    </row>
    <row r="344" customFormat="false" ht="15" hidden="true" customHeight="false" outlineLevel="0" collapsed="false">
      <c r="A344" s="1" t="n">
        <v>0</v>
      </c>
      <c r="B344" s="1" t="n">
        <v>0</v>
      </c>
      <c r="C344" s="1" t="s">
        <v>68</v>
      </c>
      <c r="D344" s="1" t="s">
        <v>68</v>
      </c>
      <c r="E344" s="1" t="s">
        <v>452</v>
      </c>
      <c r="F344" s="1" t="s">
        <v>16</v>
      </c>
      <c r="G344" s="1" t="n">
        <v>-20.457872</v>
      </c>
      <c r="H344" s="1" t="n">
        <v>-47.590394</v>
      </c>
      <c r="I344" s="1" t="n">
        <v>-20.5377516772009</v>
      </c>
      <c r="J344" s="1" t="n">
        <v>-47.3988262744382</v>
      </c>
      <c r="K344" s="1" t="n">
        <v>27.7</v>
      </c>
      <c r="L344" s="1" t="n">
        <v>29.8</v>
      </c>
      <c r="M344" s="1" t="s">
        <v>17</v>
      </c>
    </row>
    <row r="345" customFormat="false" ht="15" hidden="true" customHeight="false" outlineLevel="0" collapsed="false">
      <c r="A345" s="1" t="n">
        <v>0</v>
      </c>
      <c r="B345" s="1" t="n">
        <v>0</v>
      </c>
      <c r="C345" s="1" t="s">
        <v>112</v>
      </c>
      <c r="D345" s="1" t="s">
        <v>164</v>
      </c>
      <c r="E345" s="1" t="s">
        <v>453</v>
      </c>
      <c r="F345" s="1" t="s">
        <v>16</v>
      </c>
      <c r="G345" s="1" t="n">
        <v>-22.7861813</v>
      </c>
      <c r="H345" s="1" t="n">
        <v>-49.9285258</v>
      </c>
      <c r="I345" s="1" t="n">
        <v>-22.983918</v>
      </c>
      <c r="J345" s="1" t="n">
        <v>-49.8691021</v>
      </c>
      <c r="K345" s="1" t="n">
        <v>29</v>
      </c>
      <c r="L345" s="1" t="n">
        <v>28.9</v>
      </c>
      <c r="M345" s="1" t="s">
        <v>17</v>
      </c>
    </row>
    <row r="346" customFormat="false" ht="15" hidden="true" customHeight="false" outlineLevel="0" collapsed="false">
      <c r="A346" s="1" t="n">
        <v>0</v>
      </c>
      <c r="B346" s="1" t="n">
        <v>0</v>
      </c>
      <c r="C346" s="1" t="s">
        <v>18</v>
      </c>
      <c r="D346" s="1" t="s">
        <v>454</v>
      </c>
      <c r="E346" s="1" t="s">
        <v>455</v>
      </c>
      <c r="F346" s="1" t="s">
        <v>16</v>
      </c>
      <c r="G346" s="1" t="n">
        <v>-21.8378246</v>
      </c>
      <c r="H346" s="1" t="n">
        <v>-51.602158</v>
      </c>
      <c r="I346" s="1" t="n">
        <v>-21.9758927</v>
      </c>
      <c r="J346" s="1" t="n">
        <v>-51.6517237</v>
      </c>
      <c r="K346" s="1" t="n">
        <v>17</v>
      </c>
      <c r="L346" s="1" t="n">
        <v>19.9</v>
      </c>
      <c r="M346" s="1" t="s">
        <v>17</v>
      </c>
    </row>
    <row r="347" customFormat="false" ht="15" hidden="true" customHeight="false" outlineLevel="0" collapsed="false">
      <c r="A347" s="1" t="n">
        <v>0</v>
      </c>
      <c r="B347" s="1" t="n">
        <v>0</v>
      </c>
      <c r="C347" s="1" t="s">
        <v>34</v>
      </c>
      <c r="D347" s="1" t="s">
        <v>456</v>
      </c>
      <c r="E347" s="1" t="s">
        <v>457</v>
      </c>
      <c r="F347" s="1" t="s">
        <v>16</v>
      </c>
      <c r="G347" s="1" t="n">
        <v>-24.10114</v>
      </c>
      <c r="H347" s="1" t="n">
        <v>-48.367931</v>
      </c>
      <c r="I347" s="1" t="n">
        <v>-24.0072838655773</v>
      </c>
      <c r="J347" s="1" t="n">
        <v>-48.3469804185384</v>
      </c>
      <c r="K347" s="1" t="n">
        <v>12</v>
      </c>
      <c r="L347" s="1" t="n">
        <v>19</v>
      </c>
      <c r="M347" s="1" t="s">
        <v>17</v>
      </c>
    </row>
    <row r="348" customFormat="false" ht="15" hidden="true" customHeight="false" outlineLevel="0" collapsed="false">
      <c r="A348" s="1" t="n">
        <v>0</v>
      </c>
      <c r="B348" s="1" t="n">
        <v>0</v>
      </c>
      <c r="C348" s="1" t="s">
        <v>195</v>
      </c>
      <c r="D348" s="1" t="s">
        <v>196</v>
      </c>
      <c r="E348" s="1" t="s">
        <v>458</v>
      </c>
      <c r="F348" s="1" t="s">
        <v>16</v>
      </c>
      <c r="G348" s="1" t="n">
        <v>-23.4472879</v>
      </c>
      <c r="H348" s="1" t="n">
        <v>-46.5319474</v>
      </c>
      <c r="I348" s="1" t="n">
        <v>-23.7130909</v>
      </c>
      <c r="J348" s="1" t="n">
        <v>-46.5577531</v>
      </c>
      <c r="K348" s="1" t="n">
        <v>38.3</v>
      </c>
      <c r="L348" s="1" t="n">
        <v>45.9</v>
      </c>
      <c r="M348" s="1" t="s">
        <v>17</v>
      </c>
    </row>
    <row r="349" customFormat="false" ht="15" hidden="true" customHeight="false" outlineLevel="0" collapsed="false">
      <c r="A349" s="1" t="n">
        <v>0</v>
      </c>
      <c r="B349" s="1" t="n">
        <v>0</v>
      </c>
      <c r="C349" s="1" t="s">
        <v>68</v>
      </c>
      <c r="D349" s="1" t="s">
        <v>303</v>
      </c>
      <c r="E349" s="1" t="s">
        <v>459</v>
      </c>
      <c r="F349" s="1" t="s">
        <v>16</v>
      </c>
      <c r="G349" s="1" t="n">
        <v>-20.0811589</v>
      </c>
      <c r="H349" s="1" t="n">
        <v>-47.4210736</v>
      </c>
      <c r="I349" s="1" t="n">
        <v>-20.2580497</v>
      </c>
      <c r="J349" s="1" t="n">
        <v>-47.4768148</v>
      </c>
      <c r="K349" s="1" t="n">
        <v>28.4</v>
      </c>
      <c r="L349" s="1" t="n">
        <v>24.2</v>
      </c>
      <c r="M349" s="1" t="s">
        <v>17</v>
      </c>
    </row>
    <row r="350" customFormat="false" ht="15" hidden="true" customHeight="false" outlineLevel="0" collapsed="false">
      <c r="A350" s="1" t="n">
        <v>0</v>
      </c>
      <c r="B350" s="1" t="n">
        <v>0</v>
      </c>
      <c r="C350" s="1" t="s">
        <v>54</v>
      </c>
      <c r="D350" s="1" t="s">
        <v>54</v>
      </c>
      <c r="E350" s="1" t="s">
        <v>460</v>
      </c>
      <c r="F350" s="1" t="s">
        <v>16</v>
      </c>
      <c r="G350" s="1" t="n">
        <v>-21.5881095</v>
      </c>
      <c r="H350" s="1" t="n">
        <v>-48.0724258</v>
      </c>
      <c r="I350" s="1" t="n">
        <v>-21.8050425399424</v>
      </c>
      <c r="J350" s="1" t="n">
        <v>-48.1712910931619</v>
      </c>
      <c r="K350" s="1" t="n">
        <v>34.4</v>
      </c>
      <c r="L350" s="1" t="n">
        <v>38.3</v>
      </c>
      <c r="M350" s="1" t="s">
        <v>17</v>
      </c>
    </row>
    <row r="351" customFormat="false" ht="15" hidden="true" customHeight="false" outlineLevel="0" collapsed="false">
      <c r="A351" s="1" t="n">
        <v>0</v>
      </c>
      <c r="B351" s="1" t="n">
        <v>0</v>
      </c>
      <c r="C351" s="1" t="s">
        <v>49</v>
      </c>
      <c r="D351" s="1" t="s">
        <v>74</v>
      </c>
      <c r="E351" s="1" t="s">
        <v>461</v>
      </c>
      <c r="F351" s="1" t="s">
        <v>16</v>
      </c>
      <c r="G351" s="1" t="n">
        <v>-21.728308</v>
      </c>
      <c r="H351" s="1" t="n">
        <v>-50.7226134</v>
      </c>
      <c r="I351" s="1" t="n">
        <v>-21.9239111</v>
      </c>
      <c r="J351" s="1" t="n">
        <v>-50.5180547</v>
      </c>
      <c r="K351" s="1" t="n">
        <v>41</v>
      </c>
      <c r="L351" s="1" t="n">
        <v>40.3</v>
      </c>
      <c r="M351" s="1" t="s">
        <v>17</v>
      </c>
    </row>
    <row r="352" customFormat="false" ht="15" hidden="true" customHeight="false" outlineLevel="0" collapsed="false">
      <c r="A352" s="1" t="n">
        <v>0</v>
      </c>
      <c r="B352" s="1" t="n">
        <v>0</v>
      </c>
      <c r="C352" s="1" t="s">
        <v>195</v>
      </c>
      <c r="D352" s="1" t="s">
        <v>196</v>
      </c>
      <c r="E352" s="1" t="s">
        <v>462</v>
      </c>
      <c r="F352" s="1" t="s">
        <v>16</v>
      </c>
      <c r="G352" s="1" t="n">
        <v>-23.7441905</v>
      </c>
      <c r="H352" s="1" t="n">
        <v>-46.3924746</v>
      </c>
      <c r="I352" s="1" t="n">
        <v>-23.7130909</v>
      </c>
      <c r="J352" s="1" t="n">
        <v>-46.5577531</v>
      </c>
      <c r="K352" s="1" t="n">
        <v>27.3</v>
      </c>
      <c r="L352" s="1" t="n">
        <v>31.9</v>
      </c>
      <c r="M352" s="1" t="s">
        <v>17</v>
      </c>
    </row>
    <row r="353" customFormat="false" ht="15" hidden="true" customHeight="false" outlineLevel="0" collapsed="false">
      <c r="A353" s="1" t="n">
        <v>0</v>
      </c>
      <c r="B353" s="1" t="n">
        <v>0</v>
      </c>
      <c r="C353" s="1" t="s">
        <v>100</v>
      </c>
      <c r="D353" s="1" t="s">
        <v>463</v>
      </c>
      <c r="E353" s="1" t="s">
        <v>464</v>
      </c>
      <c r="F353" s="1" t="s">
        <v>16</v>
      </c>
      <c r="G353" s="1" t="n">
        <v>-23.8303603</v>
      </c>
      <c r="H353" s="1" t="n">
        <v>-49.4340558</v>
      </c>
      <c r="I353" s="1" t="n">
        <v>-24.1160533846079</v>
      </c>
      <c r="J353" s="2" t="n">
        <v>-49.3456693612955</v>
      </c>
      <c r="K353" s="1" t="n">
        <v>46.5</v>
      </c>
      <c r="L353" s="1" t="n">
        <v>54</v>
      </c>
      <c r="M353" s="1" t="s">
        <v>17</v>
      </c>
    </row>
    <row r="354" customFormat="false" ht="15" hidden="true" customHeight="false" outlineLevel="0" collapsed="false">
      <c r="A354" s="1" t="n">
        <v>0</v>
      </c>
      <c r="B354" s="1" t="n">
        <v>0</v>
      </c>
      <c r="C354" s="1" t="s">
        <v>61</v>
      </c>
      <c r="D354" s="1" t="s">
        <v>62</v>
      </c>
      <c r="E354" s="1" t="s">
        <v>465</v>
      </c>
      <c r="F354" s="1" t="s">
        <v>16</v>
      </c>
      <c r="G354" s="1" t="n">
        <v>-22.8980898</v>
      </c>
      <c r="H354" s="1" t="n">
        <v>-45.3093218</v>
      </c>
      <c r="I354" s="1" t="n">
        <v>-22.8217468</v>
      </c>
      <c r="J354" s="1" t="n">
        <v>-45.1912082</v>
      </c>
      <c r="K354" s="1" t="n">
        <v>18.3</v>
      </c>
      <c r="L354" s="1" t="n">
        <v>18.6</v>
      </c>
      <c r="M354" s="1" t="s">
        <v>17</v>
      </c>
    </row>
    <row r="355" customFormat="false" ht="15" hidden="true" customHeight="false" outlineLevel="0" collapsed="false">
      <c r="A355" s="1" t="n">
        <v>0</v>
      </c>
      <c r="B355" s="1" t="n">
        <v>0</v>
      </c>
      <c r="C355" s="1" t="s">
        <v>42</v>
      </c>
      <c r="D355" s="1" t="s">
        <v>466</v>
      </c>
      <c r="E355" s="1" t="s">
        <v>467</v>
      </c>
      <c r="F355" s="1" t="s">
        <v>16</v>
      </c>
      <c r="G355" s="1" t="n">
        <v>-21.2996334</v>
      </c>
      <c r="H355" s="1" t="n">
        <v>-50.7298698</v>
      </c>
      <c r="I355" s="1" t="n">
        <v>-21.2558419</v>
      </c>
      <c r="J355" s="1" t="n">
        <v>-50.6382621</v>
      </c>
      <c r="K355" s="1" t="n">
        <v>14.1</v>
      </c>
      <c r="L355" s="1" t="n">
        <v>15.8</v>
      </c>
      <c r="M355" s="1" t="s">
        <v>17</v>
      </c>
    </row>
    <row r="356" customFormat="false" ht="15" hidden="true" customHeight="false" outlineLevel="0" collapsed="false">
      <c r="A356" s="1" t="n">
        <v>0</v>
      </c>
      <c r="B356" s="1" t="n">
        <v>0</v>
      </c>
      <c r="C356" s="1" t="s">
        <v>64</v>
      </c>
      <c r="D356" s="1" t="s">
        <v>364</v>
      </c>
      <c r="E356" s="1" t="s">
        <v>468</v>
      </c>
      <c r="F356" s="1" t="s">
        <v>16</v>
      </c>
      <c r="G356" s="1" t="n">
        <v>-20.1718325</v>
      </c>
      <c r="H356" s="1" t="n">
        <v>-50.9995571</v>
      </c>
      <c r="I356" s="1" t="n">
        <v>-20.2143637079368</v>
      </c>
      <c r="J356" s="1" t="n">
        <v>-50.9283364543431</v>
      </c>
      <c r="K356" s="1" t="n">
        <v>11.1</v>
      </c>
      <c r="L356" s="1" t="n">
        <v>15.2</v>
      </c>
      <c r="M356" s="1" t="s">
        <v>17</v>
      </c>
    </row>
    <row r="357" customFormat="false" ht="15" hidden="true" customHeight="false" outlineLevel="0" collapsed="false">
      <c r="A357" s="1" t="n">
        <v>0</v>
      </c>
      <c r="B357" s="1" t="n">
        <v>0</v>
      </c>
      <c r="C357" s="1" t="s">
        <v>30</v>
      </c>
      <c r="D357" s="1" t="s">
        <v>149</v>
      </c>
      <c r="E357" s="1" t="s">
        <v>469</v>
      </c>
      <c r="F357" s="1" t="s">
        <v>16</v>
      </c>
      <c r="G357" s="1" t="n">
        <v>-21.4598472</v>
      </c>
      <c r="H357" s="1" t="n">
        <v>-49.5776811</v>
      </c>
      <c r="I357" s="1" t="n">
        <v>-21.6721141</v>
      </c>
      <c r="J357" s="1" t="n">
        <v>-49.7555107</v>
      </c>
      <c r="K357" s="1" t="n">
        <v>32.9</v>
      </c>
      <c r="L357" s="1" t="n">
        <v>36.2</v>
      </c>
      <c r="M357" s="1" t="s">
        <v>17</v>
      </c>
    </row>
    <row r="358" customFormat="false" ht="15" hidden="true" customHeight="false" outlineLevel="0" collapsed="false">
      <c r="A358" s="1" t="n">
        <v>0</v>
      </c>
      <c r="B358" s="1" t="n">
        <v>0</v>
      </c>
      <c r="C358" s="1" t="s">
        <v>49</v>
      </c>
      <c r="D358" s="1" t="s">
        <v>228</v>
      </c>
      <c r="E358" s="1" t="s">
        <v>470</v>
      </c>
      <c r="F358" s="1" t="s">
        <v>16</v>
      </c>
      <c r="G358" s="1" t="n">
        <v>-21.8840628</v>
      </c>
      <c r="H358" s="1" t="n">
        <v>-50.9574608</v>
      </c>
      <c r="I358" s="1" t="n">
        <v>-21.6926132757716</v>
      </c>
      <c r="J358" s="1" t="n">
        <v>-51.0706469456515</v>
      </c>
      <c r="K358" s="1" t="n">
        <v>36</v>
      </c>
      <c r="L358" s="1" t="n">
        <v>37.6</v>
      </c>
      <c r="M358" s="1" t="s">
        <v>17</v>
      </c>
    </row>
    <row r="359" customFormat="false" ht="15" hidden="true" customHeight="false" outlineLevel="0" collapsed="false">
      <c r="A359" s="1" t="n">
        <v>0</v>
      </c>
      <c r="B359" s="1" t="n">
        <v>0</v>
      </c>
      <c r="C359" s="1" t="s">
        <v>13</v>
      </c>
      <c r="D359" s="1" t="s">
        <v>471</v>
      </c>
      <c r="E359" s="1" t="s">
        <v>472</v>
      </c>
      <c r="F359" s="1" t="s">
        <v>16</v>
      </c>
      <c r="G359" s="1" t="n">
        <v>-21.3418263</v>
      </c>
      <c r="H359" s="1" t="n">
        <v>-49.4999228</v>
      </c>
      <c r="I359" s="1" t="n">
        <v>-21.4677983</v>
      </c>
      <c r="J359" s="1" t="n">
        <v>-49.2238747</v>
      </c>
      <c r="K359" s="1" t="n">
        <v>39</v>
      </c>
      <c r="L359" s="1" t="n">
        <v>39</v>
      </c>
      <c r="M359" s="1" t="s">
        <v>17</v>
      </c>
    </row>
    <row r="360" customFormat="false" ht="15" hidden="true" customHeight="false" outlineLevel="0" collapsed="false">
      <c r="A360" s="1" t="n">
        <v>0</v>
      </c>
      <c r="B360" s="1" t="n">
        <v>0</v>
      </c>
      <c r="C360" s="1" t="s">
        <v>68</v>
      </c>
      <c r="D360" s="1" t="s">
        <v>375</v>
      </c>
      <c r="E360" s="1" t="s">
        <v>473</v>
      </c>
      <c r="F360" s="1" t="s">
        <v>16</v>
      </c>
      <c r="G360" s="1" t="n">
        <v>-20.769612</v>
      </c>
      <c r="H360" s="1" t="n">
        <v>-47.836873</v>
      </c>
      <c r="I360" s="1" t="n">
        <v>-20.7217006</v>
      </c>
      <c r="J360" s="1" t="n">
        <v>-47.8709385</v>
      </c>
      <c r="K360" s="1" t="n">
        <v>9.4</v>
      </c>
      <c r="L360" s="1" t="n">
        <v>10.4</v>
      </c>
      <c r="M360" s="1" t="s">
        <v>17</v>
      </c>
    </row>
    <row r="361" customFormat="false" ht="15" hidden="true" customHeight="false" outlineLevel="0" collapsed="false">
      <c r="A361" s="1" t="n">
        <v>0</v>
      </c>
      <c r="B361" s="1" t="n">
        <v>0</v>
      </c>
      <c r="C361" s="1" t="s">
        <v>49</v>
      </c>
      <c r="D361" s="1" t="s">
        <v>228</v>
      </c>
      <c r="E361" s="1" t="s">
        <v>474</v>
      </c>
      <c r="F361" s="1" t="s">
        <v>16</v>
      </c>
      <c r="G361" s="1" t="n">
        <v>-21.625096</v>
      </c>
      <c r="H361" s="1" t="n">
        <v>-50.8605656</v>
      </c>
      <c r="I361" s="1" t="n">
        <v>-21.6926132757716</v>
      </c>
      <c r="J361" s="1" t="n">
        <v>-51.0706469456515</v>
      </c>
      <c r="K361" s="1" t="n">
        <v>39.1</v>
      </c>
      <c r="L361" s="1" t="n">
        <v>40.9</v>
      </c>
      <c r="M361" s="1" t="s">
        <v>17</v>
      </c>
    </row>
    <row r="362" customFormat="false" ht="15" hidden="true" customHeight="false" outlineLevel="0" collapsed="false">
      <c r="A362" s="1" t="n">
        <v>0</v>
      </c>
      <c r="B362" s="1" t="n">
        <v>1</v>
      </c>
      <c r="C362" s="1" t="s">
        <v>27</v>
      </c>
      <c r="D362" s="1" t="s">
        <v>27</v>
      </c>
      <c r="E362" s="1" t="s">
        <v>475</v>
      </c>
      <c r="F362" s="1" t="s">
        <v>16</v>
      </c>
      <c r="G362" s="1" t="n">
        <v>-22.8446614</v>
      </c>
      <c r="H362" s="1" t="n">
        <v>-47.675489</v>
      </c>
      <c r="I362" s="1" t="n">
        <v>-22.7346887</v>
      </c>
      <c r="J362" s="1" t="n">
        <v>-47.6391905</v>
      </c>
      <c r="K362" s="1" t="n">
        <v>14.2</v>
      </c>
      <c r="L362" s="1" t="n">
        <v>13.6</v>
      </c>
      <c r="M362" s="1" t="s">
        <v>17</v>
      </c>
    </row>
    <row r="363" customFormat="false" ht="15" hidden="true" customHeight="false" outlineLevel="0" collapsed="false">
      <c r="A363" s="1" t="n">
        <v>0</v>
      </c>
      <c r="B363" s="1" t="n">
        <v>0</v>
      </c>
      <c r="C363" s="1" t="s">
        <v>34</v>
      </c>
      <c r="D363" s="1" t="s">
        <v>476</v>
      </c>
      <c r="E363" s="1" t="s">
        <v>477</v>
      </c>
      <c r="F363" s="1" t="s">
        <v>16</v>
      </c>
      <c r="G363" s="1" t="n">
        <v>-23.1989983</v>
      </c>
      <c r="H363" s="1" t="n">
        <v>-47.2913682</v>
      </c>
      <c r="I363" s="1" t="n">
        <v>-23.2702842579446</v>
      </c>
      <c r="J363" s="1" t="n">
        <v>-47.2952816743769</v>
      </c>
      <c r="K363" s="1" t="n">
        <v>9.2</v>
      </c>
      <c r="L363" s="1" t="n">
        <v>10.5</v>
      </c>
      <c r="M363" s="1" t="s">
        <v>17</v>
      </c>
    </row>
    <row r="364" customFormat="false" ht="15" hidden="true" customHeight="false" outlineLevel="0" collapsed="false">
      <c r="A364" s="1" t="n">
        <v>0</v>
      </c>
      <c r="B364" s="1" t="n">
        <v>0</v>
      </c>
      <c r="C364" s="1" t="s">
        <v>34</v>
      </c>
      <c r="D364" s="1" t="s">
        <v>34</v>
      </c>
      <c r="E364" s="1" t="s">
        <v>478</v>
      </c>
      <c r="F364" s="1" t="s">
        <v>16</v>
      </c>
      <c r="G364" s="1" t="n">
        <v>-23.6492502</v>
      </c>
      <c r="H364" s="1" t="n">
        <v>-47.5729465</v>
      </c>
      <c r="I364" s="1" t="n">
        <v>-23.5178154</v>
      </c>
      <c r="J364" s="1" t="n">
        <v>-47.4531223</v>
      </c>
      <c r="K364" s="1" t="n">
        <v>23.2</v>
      </c>
      <c r="L364" s="1" t="n">
        <v>27</v>
      </c>
      <c r="M364" s="1" t="s">
        <v>17</v>
      </c>
    </row>
    <row r="365" customFormat="false" ht="15" hidden="true" customHeight="false" outlineLevel="0" collapsed="false">
      <c r="A365" s="1" t="n">
        <v>0</v>
      </c>
      <c r="B365" s="1" t="n">
        <v>0</v>
      </c>
      <c r="C365" s="1" t="s">
        <v>112</v>
      </c>
      <c r="D365" s="1" t="s">
        <v>164</v>
      </c>
      <c r="E365" s="1" t="s">
        <v>479</v>
      </c>
      <c r="F365" s="1" t="s">
        <v>16</v>
      </c>
      <c r="G365" s="1" t="n">
        <v>-22.8878776</v>
      </c>
      <c r="H365" s="1" t="n">
        <v>-49.9837107</v>
      </c>
      <c r="I365" s="1" t="n">
        <v>-22.983918</v>
      </c>
      <c r="J365" s="1" t="n">
        <v>-49.8691021</v>
      </c>
      <c r="K365" s="1" t="n">
        <v>18.7</v>
      </c>
      <c r="L365" s="1" t="n">
        <v>20.9</v>
      </c>
      <c r="M365" s="1" t="s">
        <v>17</v>
      </c>
    </row>
    <row r="366" customFormat="false" ht="15" hidden="true" customHeight="false" outlineLevel="0" collapsed="false">
      <c r="A366" s="1" t="n">
        <v>0</v>
      </c>
      <c r="B366" s="1" t="n">
        <v>0</v>
      </c>
      <c r="C366" s="1" t="s">
        <v>18</v>
      </c>
      <c r="D366" s="1" t="s">
        <v>221</v>
      </c>
      <c r="E366" s="1" t="s">
        <v>480</v>
      </c>
      <c r="F366" s="1" t="s">
        <v>16</v>
      </c>
      <c r="G366" s="1" t="n">
        <v>-22.4560782</v>
      </c>
      <c r="H366" s="1" t="n">
        <v>-51.7634004</v>
      </c>
      <c r="I366" s="1" t="n">
        <v>-22.2758152</v>
      </c>
      <c r="J366" s="1" t="n">
        <v>-51.4940169</v>
      </c>
      <c r="K366" s="1" t="n">
        <v>40</v>
      </c>
      <c r="L366" s="1" t="n">
        <v>37.5</v>
      </c>
      <c r="M366" s="1" t="s">
        <v>17</v>
      </c>
    </row>
    <row r="367" customFormat="false" ht="15" hidden="true" customHeight="false" outlineLevel="0" collapsed="false">
      <c r="A367" s="1" t="n">
        <v>0</v>
      </c>
      <c r="B367" s="1" t="n">
        <v>0</v>
      </c>
      <c r="C367" s="1" t="s">
        <v>13</v>
      </c>
      <c r="D367" s="1" t="s">
        <v>80</v>
      </c>
      <c r="E367" s="1" t="s">
        <v>481</v>
      </c>
      <c r="F367" s="1" t="s">
        <v>16</v>
      </c>
      <c r="G367" s="1" t="n">
        <v>-21.2432992</v>
      </c>
      <c r="H367" s="1" t="n">
        <v>-48.8061481</v>
      </c>
      <c r="I367" s="1" t="n">
        <v>-21.1407509</v>
      </c>
      <c r="J367" s="1" t="n">
        <v>-48.9754937</v>
      </c>
      <c r="K367" s="1" t="n">
        <v>28.3</v>
      </c>
      <c r="L367" s="1" t="n">
        <v>25.9</v>
      </c>
      <c r="M367" s="1" t="s">
        <v>17</v>
      </c>
    </row>
    <row r="368" customFormat="false" ht="15" hidden="true" customHeight="false" outlineLevel="0" collapsed="false">
      <c r="A368" s="1" t="n">
        <v>0</v>
      </c>
      <c r="B368" s="1" t="n">
        <v>0</v>
      </c>
      <c r="C368" s="1" t="s">
        <v>64</v>
      </c>
      <c r="D368" s="1" t="s">
        <v>64</v>
      </c>
      <c r="E368" s="1" t="s">
        <v>482</v>
      </c>
      <c r="F368" s="1" t="s">
        <v>16</v>
      </c>
      <c r="G368" s="1" t="n">
        <v>-20.0323485</v>
      </c>
      <c r="H368" s="1" t="n">
        <v>-50.7278392</v>
      </c>
      <c r="I368" s="1" t="n">
        <v>-20.2667765</v>
      </c>
      <c r="J368" s="1" t="n">
        <v>-50.5425068</v>
      </c>
      <c r="K368" s="1" t="n">
        <v>32.6</v>
      </c>
      <c r="L368" s="1" t="n">
        <v>32.3</v>
      </c>
      <c r="M368" s="1" t="s">
        <v>17</v>
      </c>
    </row>
    <row r="369" customFormat="false" ht="15" hidden="true" customHeight="false" outlineLevel="0" collapsed="false">
      <c r="A369" s="1" t="n">
        <v>0</v>
      </c>
      <c r="B369" s="1" t="n">
        <v>0</v>
      </c>
      <c r="C369" s="1" t="s">
        <v>266</v>
      </c>
      <c r="D369" s="1" t="s">
        <v>267</v>
      </c>
      <c r="E369" s="1" t="s">
        <v>483</v>
      </c>
      <c r="F369" s="1" t="s">
        <v>16</v>
      </c>
      <c r="G369" s="1" t="n">
        <v>-23.3974353</v>
      </c>
      <c r="H369" s="1" t="n">
        <v>-45.8842294</v>
      </c>
      <c r="I369" s="1" t="n">
        <v>-23.296135521001</v>
      </c>
      <c r="J369" s="1" t="n">
        <v>-45.963389543689</v>
      </c>
      <c r="K369" s="1" t="n">
        <v>16.9</v>
      </c>
      <c r="L369" s="1" t="n">
        <v>22.3</v>
      </c>
      <c r="M369" s="1" t="s">
        <v>17</v>
      </c>
    </row>
    <row r="370" customFormat="false" ht="15" hidden="true" customHeight="false" outlineLevel="0" collapsed="false">
      <c r="A370" s="1" t="n">
        <v>0</v>
      </c>
      <c r="B370" s="1" t="n">
        <v>0</v>
      </c>
      <c r="C370" s="1" t="s">
        <v>64</v>
      </c>
      <c r="D370" s="1" t="s">
        <v>364</v>
      </c>
      <c r="E370" s="1" t="s">
        <v>484</v>
      </c>
      <c r="F370" s="1" t="s">
        <v>16</v>
      </c>
      <c r="G370" s="1" t="n">
        <v>-20.0938889</v>
      </c>
      <c r="H370" s="1" t="n">
        <v>-50.9263889</v>
      </c>
      <c r="I370" s="1" t="n">
        <v>-20.2143637079368</v>
      </c>
      <c r="J370" s="1" t="n">
        <v>-50.9283364543431</v>
      </c>
      <c r="K370" s="1" t="n">
        <v>17.5</v>
      </c>
      <c r="L370" s="1" t="n">
        <v>20.7</v>
      </c>
      <c r="M370" s="1" t="s">
        <v>17</v>
      </c>
    </row>
    <row r="371" customFormat="false" ht="15" hidden="true" customHeight="false" outlineLevel="0" collapsed="false">
      <c r="A371" s="1" t="n">
        <v>0</v>
      </c>
      <c r="B371" s="1" t="n">
        <v>0</v>
      </c>
      <c r="C371" s="1" t="s">
        <v>27</v>
      </c>
      <c r="D371" s="1" t="s">
        <v>485</v>
      </c>
      <c r="E371" s="1" t="s">
        <v>486</v>
      </c>
      <c r="F371" s="1" t="s">
        <v>16</v>
      </c>
      <c r="G371" s="1" t="n">
        <v>-22.1378975</v>
      </c>
      <c r="H371" s="1" t="n">
        <v>-47.4555647</v>
      </c>
      <c r="I371" s="1" t="n">
        <v>-22.1900842</v>
      </c>
      <c r="J371" s="1" t="n">
        <v>-47.3920103</v>
      </c>
      <c r="K371" s="1" t="n">
        <v>11.5</v>
      </c>
      <c r="L371" s="1" t="n">
        <v>13.4</v>
      </c>
      <c r="M371" s="1" t="s">
        <v>17</v>
      </c>
    </row>
    <row r="372" customFormat="false" ht="15" hidden="true" customHeight="false" outlineLevel="0" collapsed="false">
      <c r="A372" s="1" t="n">
        <v>0</v>
      </c>
      <c r="B372" s="1" t="n">
        <v>0</v>
      </c>
      <c r="C372" s="1" t="s">
        <v>103</v>
      </c>
      <c r="D372" s="1" t="s">
        <v>171</v>
      </c>
      <c r="E372" s="1" t="s">
        <v>487</v>
      </c>
      <c r="F372" s="1" t="s">
        <v>16</v>
      </c>
      <c r="G372" s="1" t="n">
        <v>-21.2918648</v>
      </c>
      <c r="H372" s="1" t="n">
        <v>-47.4309885</v>
      </c>
      <c r="I372" s="1" t="n">
        <v>-21.2742583216393</v>
      </c>
      <c r="J372" s="1" t="n">
        <v>-47.3056357573004</v>
      </c>
      <c r="K372" s="1" t="n">
        <v>15.4</v>
      </c>
      <c r="L372" s="1" t="n">
        <v>14.1</v>
      </c>
      <c r="M372" s="1" t="s">
        <v>17</v>
      </c>
    </row>
    <row r="373" customFormat="false" ht="15" hidden="true" customHeight="false" outlineLevel="0" collapsed="false">
      <c r="A373" s="1" t="n">
        <v>0</v>
      </c>
      <c r="B373" s="1" t="n">
        <v>0</v>
      </c>
      <c r="C373" s="1" t="s">
        <v>54</v>
      </c>
      <c r="D373" s="1" t="s">
        <v>162</v>
      </c>
      <c r="E373" s="1" t="s">
        <v>488</v>
      </c>
      <c r="F373" s="1" t="s">
        <v>16</v>
      </c>
      <c r="G373" s="1" t="n">
        <v>-21.4634463</v>
      </c>
      <c r="H373" s="1" t="n">
        <v>-48.3912139</v>
      </c>
      <c r="I373" s="1" t="n">
        <v>-21.3992546</v>
      </c>
      <c r="J373" s="1" t="n">
        <v>-48.4983519</v>
      </c>
      <c r="K373" s="1" t="n">
        <v>17.1</v>
      </c>
      <c r="L373" s="1" t="n">
        <v>21.3</v>
      </c>
      <c r="M373" s="1" t="s">
        <v>17</v>
      </c>
    </row>
    <row r="374" customFormat="false" ht="15" hidden="true" customHeight="false" outlineLevel="0" collapsed="false">
      <c r="A374" s="1" t="n">
        <v>0</v>
      </c>
      <c r="B374" s="1" t="n">
        <v>0</v>
      </c>
      <c r="C374" s="1" t="s">
        <v>27</v>
      </c>
      <c r="D374" s="1" t="s">
        <v>186</v>
      </c>
      <c r="E374" s="1" t="s">
        <v>489</v>
      </c>
      <c r="F374" s="1" t="s">
        <v>16</v>
      </c>
      <c r="G374" s="1" t="n">
        <v>-22.4590897</v>
      </c>
      <c r="H374" s="1" t="n">
        <v>-47.532034</v>
      </c>
      <c r="I374" s="1" t="n">
        <v>-22.4187754</v>
      </c>
      <c r="J374" s="1" t="n">
        <v>-47.5667708</v>
      </c>
      <c r="K374" s="1" t="n">
        <v>7.4</v>
      </c>
      <c r="L374" s="1" t="n">
        <v>7.9</v>
      </c>
      <c r="M374" s="1" t="s">
        <v>17</v>
      </c>
    </row>
    <row r="375" customFormat="false" ht="15" hidden="true" customHeight="false" outlineLevel="0" collapsed="false">
      <c r="A375" s="1" t="n">
        <v>0</v>
      </c>
      <c r="B375" s="1" t="n">
        <v>0</v>
      </c>
      <c r="C375" s="1" t="s">
        <v>54</v>
      </c>
      <c r="D375" s="1" t="s">
        <v>54</v>
      </c>
      <c r="E375" s="1" t="s">
        <v>490</v>
      </c>
      <c r="F375" s="1" t="s">
        <v>16</v>
      </c>
      <c r="G375" s="1" t="n">
        <v>-21.6861811</v>
      </c>
      <c r="H375" s="1" t="n">
        <v>-48.0836814</v>
      </c>
      <c r="I375" s="1" t="n">
        <v>-21.8050425399424</v>
      </c>
      <c r="J375" s="1" t="n">
        <v>-48.1712910931619</v>
      </c>
      <c r="K375" s="1" t="n">
        <v>19.5</v>
      </c>
      <c r="L375" s="1" t="n">
        <v>23.7</v>
      </c>
      <c r="M375" s="1" t="s">
        <v>17</v>
      </c>
    </row>
    <row r="376" customFormat="false" ht="15" hidden="true" customHeight="false" outlineLevel="0" collapsed="false">
      <c r="A376" s="1" t="n">
        <v>0</v>
      </c>
      <c r="B376" s="1" t="n">
        <v>0</v>
      </c>
      <c r="C376" s="1" t="s">
        <v>27</v>
      </c>
      <c r="D376" s="1" t="s">
        <v>28</v>
      </c>
      <c r="E376" s="1" t="s">
        <v>491</v>
      </c>
      <c r="F376" s="1" t="s">
        <v>16</v>
      </c>
      <c r="G376" s="1" t="n">
        <v>-22.5691072</v>
      </c>
      <c r="H376" s="1" t="n">
        <v>-48.157095</v>
      </c>
      <c r="I376" s="1" t="n">
        <v>-22.5480833</v>
      </c>
      <c r="J376" s="1" t="n">
        <v>-47.914176</v>
      </c>
      <c r="K376" s="1" t="n">
        <v>27.7</v>
      </c>
      <c r="L376" s="1" t="n">
        <v>24</v>
      </c>
      <c r="M376" s="1" t="s">
        <v>17</v>
      </c>
    </row>
    <row r="377" customFormat="false" ht="15" hidden="true" customHeight="false" outlineLevel="0" collapsed="false">
      <c r="A377" s="1" t="n">
        <v>0</v>
      </c>
      <c r="B377" s="1" t="n">
        <v>0</v>
      </c>
      <c r="C377" s="1" t="s">
        <v>153</v>
      </c>
      <c r="D377" s="1" t="s">
        <v>349</v>
      </c>
      <c r="E377" s="1" t="s">
        <v>492</v>
      </c>
      <c r="F377" s="1" t="s">
        <v>16</v>
      </c>
      <c r="G377" s="1" t="n">
        <v>-21.3513258</v>
      </c>
      <c r="H377" s="1" t="n">
        <v>-51.7534</v>
      </c>
      <c r="I377" s="1" t="n">
        <v>-21.3888918</v>
      </c>
      <c r="J377" s="1" t="n">
        <v>-51.5690936</v>
      </c>
      <c r="K377" s="1" t="n">
        <v>25.6</v>
      </c>
      <c r="L377" s="1" t="n">
        <v>24.1</v>
      </c>
      <c r="M377" s="1" t="s">
        <v>17</v>
      </c>
    </row>
    <row r="378" customFormat="false" ht="15" hidden="true" customHeight="false" outlineLevel="0" collapsed="false">
      <c r="A378" s="1" t="n">
        <v>0</v>
      </c>
      <c r="B378" s="1" t="n">
        <v>0</v>
      </c>
      <c r="C378" s="1" t="s">
        <v>64</v>
      </c>
      <c r="D378" s="1" t="s">
        <v>364</v>
      </c>
      <c r="E378" s="1" t="s">
        <v>493</v>
      </c>
      <c r="F378" s="1" t="s">
        <v>16</v>
      </c>
      <c r="G378" s="1" t="n">
        <v>-20.1448079</v>
      </c>
      <c r="H378" s="1" t="n">
        <v>-50.8317569</v>
      </c>
      <c r="I378" s="1" t="n">
        <v>-20.2143637079368</v>
      </c>
      <c r="J378" s="1" t="n">
        <v>-50.9283364543431</v>
      </c>
      <c r="K378" s="1" t="n">
        <v>14.5</v>
      </c>
      <c r="L378" s="1" t="n">
        <v>17.4</v>
      </c>
      <c r="M378" s="1" t="s">
        <v>17</v>
      </c>
    </row>
    <row r="379" customFormat="false" ht="15" hidden="true" customHeight="false" outlineLevel="0" collapsed="false">
      <c r="A379" s="1" t="n">
        <v>0</v>
      </c>
      <c r="B379" s="1" t="n">
        <v>0</v>
      </c>
      <c r="C379" s="1" t="s">
        <v>103</v>
      </c>
      <c r="D379" s="1" t="s">
        <v>171</v>
      </c>
      <c r="E379" s="1" t="s">
        <v>494</v>
      </c>
      <c r="F379" s="1" t="s">
        <v>16</v>
      </c>
      <c r="G379" s="1" t="n">
        <v>-21.4890379</v>
      </c>
      <c r="H379" s="1" t="n">
        <v>-47.3651151</v>
      </c>
      <c r="I379" s="1" t="n">
        <v>-21.2742583216393</v>
      </c>
      <c r="J379" s="1" t="n">
        <v>-47.3056357573004</v>
      </c>
      <c r="K379" s="1" t="n">
        <v>29.1</v>
      </c>
      <c r="L379" s="1" t="n">
        <v>33</v>
      </c>
      <c r="M379" s="1" t="s">
        <v>17</v>
      </c>
    </row>
    <row r="380" customFormat="false" ht="15" hidden="true" customHeight="false" outlineLevel="0" collapsed="false">
      <c r="A380" s="1" t="n">
        <v>0</v>
      </c>
      <c r="B380" s="1" t="n">
        <v>0</v>
      </c>
      <c r="C380" s="1" t="s">
        <v>64</v>
      </c>
      <c r="D380" s="1" t="s">
        <v>64</v>
      </c>
      <c r="E380" s="1" t="s">
        <v>495</v>
      </c>
      <c r="F380" s="1" t="s">
        <v>16</v>
      </c>
      <c r="G380" s="1" t="n">
        <v>-20.2451795</v>
      </c>
      <c r="H380" s="1" t="n">
        <v>-50.6889625</v>
      </c>
      <c r="I380" s="1" t="n">
        <v>-20.2667765</v>
      </c>
      <c r="J380" s="1" t="n">
        <v>-50.5425068</v>
      </c>
      <c r="K380" s="1" t="n">
        <v>18.6</v>
      </c>
      <c r="L380" s="1" t="n">
        <v>15.3</v>
      </c>
      <c r="M380" s="1" t="s">
        <v>17</v>
      </c>
    </row>
    <row r="381" customFormat="false" ht="15" hidden="true" customHeight="false" outlineLevel="0" collapsed="false">
      <c r="A381" s="1" t="n">
        <v>0</v>
      </c>
      <c r="B381" s="1" t="n">
        <v>0</v>
      </c>
      <c r="C381" s="1" t="s">
        <v>64</v>
      </c>
      <c r="D381" s="1" t="s">
        <v>64</v>
      </c>
      <c r="E381" s="1" t="s">
        <v>496</v>
      </c>
      <c r="F381" s="1" t="s">
        <v>16</v>
      </c>
      <c r="G381" s="1" t="n">
        <v>-20.2543758</v>
      </c>
      <c r="H381" s="1" t="n">
        <v>-50.7975649</v>
      </c>
      <c r="I381" s="1" t="n">
        <v>-20.2667765</v>
      </c>
      <c r="J381" s="1" t="n">
        <v>-50.5425068</v>
      </c>
      <c r="K381" s="1" t="n">
        <v>30.8</v>
      </c>
      <c r="L381" s="1" t="n">
        <v>26.3</v>
      </c>
      <c r="M381" s="1" t="s">
        <v>17</v>
      </c>
    </row>
    <row r="382" customFormat="false" ht="15" hidden="true" customHeight="false" outlineLevel="0" collapsed="false">
      <c r="A382" s="1" t="n">
        <v>0</v>
      </c>
      <c r="B382" s="1" t="n">
        <v>1</v>
      </c>
      <c r="C382" s="1" t="s">
        <v>106</v>
      </c>
      <c r="D382" s="1" t="s">
        <v>107</v>
      </c>
      <c r="E382" s="1" t="s">
        <v>497</v>
      </c>
      <c r="F382" s="1" t="s">
        <v>16</v>
      </c>
      <c r="G382" s="1" t="n">
        <v>-23.4446715</v>
      </c>
      <c r="H382" s="1" t="n">
        <v>-46.9167722</v>
      </c>
      <c r="I382" s="1" t="n">
        <v>-23.5706964</v>
      </c>
      <c r="J382" s="1" t="n">
        <v>-46.7104754</v>
      </c>
      <c r="K382" s="1" t="n">
        <v>30.9</v>
      </c>
      <c r="L382" s="1" t="n">
        <v>32.9</v>
      </c>
      <c r="M382" s="1" t="s">
        <v>17</v>
      </c>
    </row>
    <row r="383" customFormat="false" ht="15" hidden="true" customHeight="false" outlineLevel="0" collapsed="false">
      <c r="A383" s="1" t="n">
        <v>0</v>
      </c>
      <c r="B383" s="1" t="n">
        <v>0</v>
      </c>
      <c r="C383" s="1" t="s">
        <v>195</v>
      </c>
      <c r="D383" s="1" t="s">
        <v>196</v>
      </c>
      <c r="E383" s="1" t="s">
        <v>195</v>
      </c>
      <c r="F383" s="1" t="s">
        <v>16</v>
      </c>
      <c r="G383" s="1" t="n">
        <v>-23.6533509</v>
      </c>
      <c r="H383" s="1" t="n">
        <v>-46.5279039</v>
      </c>
      <c r="I383" s="1" t="n">
        <v>-23.7130909</v>
      </c>
      <c r="J383" s="1" t="n">
        <v>-46.5577531</v>
      </c>
      <c r="K383" s="1" t="n">
        <v>8.9</v>
      </c>
      <c r="L383" s="1" t="n">
        <v>14.2</v>
      </c>
      <c r="M383" s="1" t="s">
        <v>17</v>
      </c>
    </row>
    <row r="384" customFormat="false" ht="15" hidden="true" customHeight="false" outlineLevel="0" collapsed="false">
      <c r="A384" s="1" t="n">
        <v>0</v>
      </c>
      <c r="B384" s="1" t="n">
        <v>0</v>
      </c>
      <c r="C384" s="1" t="s">
        <v>103</v>
      </c>
      <c r="D384" s="1" t="s">
        <v>498</v>
      </c>
      <c r="E384" s="1" t="s">
        <v>499</v>
      </c>
      <c r="F384" s="1" t="s">
        <v>16</v>
      </c>
      <c r="G384" s="1" t="n">
        <v>-21.0893048</v>
      </c>
      <c r="H384" s="1" t="n">
        <v>-47.1523426</v>
      </c>
      <c r="I384" s="1" t="n">
        <v>-21.0268912</v>
      </c>
      <c r="J384" s="1" t="n">
        <v>-47.3759169</v>
      </c>
      <c r="K384" s="1" t="n">
        <v>30.8</v>
      </c>
      <c r="L384" s="1" t="n">
        <v>28.3</v>
      </c>
      <c r="M384" s="1" t="s">
        <v>17</v>
      </c>
    </row>
    <row r="385" customFormat="false" ht="15" hidden="true" customHeight="false" outlineLevel="0" collapsed="false">
      <c r="A385" s="1" t="n">
        <v>0</v>
      </c>
      <c r="B385" s="1" t="n">
        <v>1</v>
      </c>
      <c r="C385" s="1" t="s">
        <v>82</v>
      </c>
      <c r="D385" s="1" t="s">
        <v>82</v>
      </c>
      <c r="E385" s="1" t="s">
        <v>500</v>
      </c>
      <c r="F385" s="1" t="s">
        <v>16</v>
      </c>
      <c r="G385" s="1" t="n">
        <v>-22.6053304</v>
      </c>
      <c r="H385" s="1" t="n">
        <v>-46.9197291</v>
      </c>
      <c r="I385" s="1" t="n">
        <v>-22.8267804850019</v>
      </c>
      <c r="J385" s="1" t="n">
        <v>-47.0640301726016</v>
      </c>
      <c r="K385" s="1" t="n">
        <v>40.7</v>
      </c>
      <c r="L385" s="1" t="n">
        <v>36.8</v>
      </c>
      <c r="M385" s="1" t="s">
        <v>17</v>
      </c>
    </row>
    <row r="386" customFormat="false" ht="15" hidden="true" customHeight="false" outlineLevel="0" collapsed="false">
      <c r="A386" s="1" t="n">
        <v>0</v>
      </c>
      <c r="B386" s="1" t="n">
        <v>0</v>
      </c>
      <c r="C386" s="1" t="s">
        <v>21</v>
      </c>
      <c r="D386" s="1" t="s">
        <v>501</v>
      </c>
      <c r="E386" s="1" t="s">
        <v>502</v>
      </c>
      <c r="F386" s="1" t="s">
        <v>16</v>
      </c>
      <c r="G386" s="1" t="n">
        <v>-22.1158536</v>
      </c>
      <c r="H386" s="1" t="n">
        <v>-46.6839541</v>
      </c>
      <c r="I386" s="1" t="n">
        <v>-22.1951301</v>
      </c>
      <c r="J386" s="1" t="n">
        <v>-46.741965</v>
      </c>
      <c r="K386" s="1" t="n">
        <v>13.1</v>
      </c>
      <c r="L386" s="1" t="n">
        <v>14.8</v>
      </c>
      <c r="M386" s="1" t="s">
        <v>17</v>
      </c>
    </row>
    <row r="387" customFormat="false" ht="15" hidden="true" customHeight="false" outlineLevel="0" collapsed="false">
      <c r="A387" s="1" t="n">
        <v>0</v>
      </c>
      <c r="B387" s="1" t="n">
        <v>0</v>
      </c>
      <c r="C387" s="1" t="s">
        <v>61</v>
      </c>
      <c r="D387" s="1" t="s">
        <v>503</v>
      </c>
      <c r="E387" s="1" t="s">
        <v>504</v>
      </c>
      <c r="F387" s="1" t="s">
        <v>16</v>
      </c>
      <c r="G387" s="1" t="n">
        <v>-22.8250504</v>
      </c>
      <c r="H387" s="1" t="n">
        <v>-45.6674063</v>
      </c>
      <c r="I387" s="1" t="n">
        <v>-22.7435729093374</v>
      </c>
      <c r="J387" s="1" t="n">
        <v>-45.6250628405897</v>
      </c>
      <c r="K387" s="1" t="n">
        <v>25.7</v>
      </c>
      <c r="L387" s="1" t="n">
        <v>27.6</v>
      </c>
      <c r="M387" s="1" t="s">
        <v>17</v>
      </c>
    </row>
    <row r="388" customFormat="false" ht="15" hidden="true" customHeight="false" outlineLevel="0" collapsed="false">
      <c r="A388" s="1" t="n">
        <v>0</v>
      </c>
      <c r="B388" s="1" t="n">
        <v>1</v>
      </c>
      <c r="C388" s="1" t="s">
        <v>18</v>
      </c>
      <c r="D388" s="1" t="s">
        <v>18</v>
      </c>
      <c r="E388" s="1" t="s">
        <v>505</v>
      </c>
      <c r="F388" s="1" t="s">
        <v>16</v>
      </c>
      <c r="G388" s="1" t="n">
        <v>-21.8508736</v>
      </c>
      <c r="H388" s="1" t="n">
        <v>-51.3925315</v>
      </c>
      <c r="I388" s="1" t="n">
        <v>-22.1321613052015</v>
      </c>
      <c r="J388" s="1" t="n">
        <v>-51.4073413591303</v>
      </c>
      <c r="K388" s="1" t="n">
        <v>42.6</v>
      </c>
      <c r="L388" s="1" t="n">
        <v>44.4</v>
      </c>
      <c r="M388" s="1" t="s">
        <v>17</v>
      </c>
    </row>
    <row r="389" customFormat="false" ht="15" hidden="true" customHeight="false" outlineLevel="0" collapsed="false">
      <c r="A389" s="1" t="n">
        <v>0</v>
      </c>
      <c r="B389" s="1" t="n">
        <v>0</v>
      </c>
      <c r="C389" s="1" t="s">
        <v>42</v>
      </c>
      <c r="D389" s="1" t="s">
        <v>115</v>
      </c>
      <c r="E389" s="1" t="s">
        <v>506</v>
      </c>
      <c r="F389" s="1" t="s">
        <v>16</v>
      </c>
      <c r="G389" s="1" t="n">
        <v>-21.6379556</v>
      </c>
      <c r="H389" s="1" t="n">
        <v>-50.5008527</v>
      </c>
      <c r="I389" s="1" t="n">
        <v>-21.5566976258936</v>
      </c>
      <c r="J389" s="1" t="n">
        <v>-50.4465331675452</v>
      </c>
      <c r="K389" s="1" t="n">
        <v>12</v>
      </c>
      <c r="L389" s="1" t="n">
        <v>11.9</v>
      </c>
      <c r="M389" s="1" t="s">
        <v>17</v>
      </c>
    </row>
    <row r="390" customFormat="false" ht="15" hidden="true" customHeight="false" outlineLevel="0" collapsed="false">
      <c r="A390" s="1" t="n">
        <v>0</v>
      </c>
      <c r="B390" s="1" t="n">
        <v>0</v>
      </c>
      <c r="C390" s="1" t="s">
        <v>195</v>
      </c>
      <c r="D390" s="1" t="s">
        <v>196</v>
      </c>
      <c r="E390" s="1" t="s">
        <v>507</v>
      </c>
      <c r="F390" s="1" t="s">
        <v>16</v>
      </c>
      <c r="G390" s="1" t="n">
        <v>-23.6195923</v>
      </c>
      <c r="H390" s="1" t="n">
        <v>-46.5688323</v>
      </c>
      <c r="I390" s="1" t="n">
        <v>-23.7130909</v>
      </c>
      <c r="J390" s="1" t="n">
        <v>-46.5577531</v>
      </c>
      <c r="K390" s="1" t="n">
        <v>17.1</v>
      </c>
      <c r="L390" s="1" t="n">
        <v>21</v>
      </c>
      <c r="M390" s="1" t="s">
        <v>17</v>
      </c>
    </row>
    <row r="391" customFormat="false" ht="15" hidden="true" customHeight="false" outlineLevel="0" collapsed="false">
      <c r="A391" s="1" t="n">
        <v>0</v>
      </c>
      <c r="B391" s="1" t="n">
        <v>0</v>
      </c>
      <c r="C391" s="1" t="s">
        <v>64</v>
      </c>
      <c r="D391" s="1" t="s">
        <v>64</v>
      </c>
      <c r="E391" s="1" t="s">
        <v>508</v>
      </c>
      <c r="F391" s="1" t="s">
        <v>16</v>
      </c>
      <c r="G391" s="1" t="n">
        <v>-20.3604438</v>
      </c>
      <c r="H391" s="1" t="n">
        <v>-50.696603</v>
      </c>
      <c r="I391" s="1" t="n">
        <v>-20.2667765</v>
      </c>
      <c r="J391" s="1" t="n">
        <v>-50.5425068</v>
      </c>
      <c r="K391" s="1" t="n">
        <v>21.2</v>
      </c>
      <c r="L391" s="1" t="n">
        <v>22.4</v>
      </c>
      <c r="M391" s="1" t="s">
        <v>17</v>
      </c>
    </row>
    <row r="392" customFormat="false" ht="15" hidden="true" customHeight="false" outlineLevel="0" collapsed="false">
      <c r="A392" s="1" t="n">
        <v>0</v>
      </c>
      <c r="B392" s="1" t="n">
        <v>0</v>
      </c>
      <c r="C392" s="1" t="s">
        <v>64</v>
      </c>
      <c r="D392" s="1" t="s">
        <v>219</v>
      </c>
      <c r="E392" s="1" t="s">
        <v>509</v>
      </c>
      <c r="F392" s="1" t="s">
        <v>16</v>
      </c>
      <c r="G392" s="1" t="n">
        <v>-20.3878223</v>
      </c>
      <c r="H392" s="1" t="n">
        <v>-50.378858</v>
      </c>
      <c r="I392" s="1" t="n">
        <v>-20.2956731</v>
      </c>
      <c r="J392" s="1" t="n">
        <v>-50.2471189</v>
      </c>
      <c r="K392" s="1" t="n">
        <v>33.2</v>
      </c>
      <c r="L392" s="1" t="n">
        <v>32.7</v>
      </c>
      <c r="M392" s="1" t="s">
        <v>17</v>
      </c>
    </row>
    <row r="393" customFormat="false" ht="15" hidden="true" customHeight="false" outlineLevel="0" collapsed="false">
      <c r="A393" s="1" t="n">
        <v>0</v>
      </c>
      <c r="B393" s="1" t="n">
        <v>0</v>
      </c>
      <c r="C393" s="1" t="s">
        <v>64</v>
      </c>
      <c r="D393" s="1" t="s">
        <v>219</v>
      </c>
      <c r="E393" s="1" t="s">
        <v>510</v>
      </c>
      <c r="F393" s="1" t="s">
        <v>16</v>
      </c>
      <c r="G393" s="1" t="n">
        <v>-20.5134345</v>
      </c>
      <c r="H393" s="1" t="n">
        <v>-50.352595</v>
      </c>
      <c r="I393" s="1" t="n">
        <v>-20.2956731</v>
      </c>
      <c r="J393" s="1" t="n">
        <v>-50.2471189</v>
      </c>
      <c r="K393" s="1" t="n">
        <v>50.5</v>
      </c>
      <c r="L393" s="1" t="n">
        <v>51.7</v>
      </c>
      <c r="M393" s="1" t="s">
        <v>17</v>
      </c>
    </row>
    <row r="394" customFormat="false" ht="15" hidden="true" customHeight="false" outlineLevel="0" collapsed="false">
      <c r="A394" s="1" t="n">
        <v>0</v>
      </c>
      <c r="B394" s="1" t="n">
        <v>0</v>
      </c>
      <c r="C394" s="1" t="s">
        <v>153</v>
      </c>
      <c r="D394" s="1" t="s">
        <v>349</v>
      </c>
      <c r="E394" s="1" t="s">
        <v>511</v>
      </c>
      <c r="F394" s="1" t="s">
        <v>16</v>
      </c>
      <c r="G394" s="1" t="n">
        <v>-21.2701055</v>
      </c>
      <c r="H394" s="1" t="n">
        <v>-51.6654978</v>
      </c>
      <c r="I394" s="1" t="n">
        <v>-21.3888918</v>
      </c>
      <c r="J394" s="1" t="n">
        <v>-51.5690936</v>
      </c>
      <c r="K394" s="1" t="n">
        <v>19.6</v>
      </c>
      <c r="L394" s="1" t="n">
        <v>21.4</v>
      </c>
      <c r="M394" s="1" t="s">
        <v>17</v>
      </c>
    </row>
    <row r="395" customFormat="false" ht="15" hidden="true" customHeight="false" outlineLevel="0" collapsed="false">
      <c r="A395" s="1" t="n">
        <v>0</v>
      </c>
      <c r="B395" s="1" t="n">
        <v>0</v>
      </c>
      <c r="C395" s="1" t="s">
        <v>68</v>
      </c>
      <c r="D395" s="1" t="s">
        <v>68</v>
      </c>
      <c r="E395" s="1" t="s">
        <v>512</v>
      </c>
      <c r="F395" s="1" t="s">
        <v>16</v>
      </c>
      <c r="G395" s="1" t="n">
        <v>-20.5934194</v>
      </c>
      <c r="H395" s="1" t="n">
        <v>-47.6416942</v>
      </c>
      <c r="I395" s="1" t="n">
        <v>-20.5377516772009</v>
      </c>
      <c r="J395" s="1" t="n">
        <v>-47.3988262744382</v>
      </c>
      <c r="K395" s="1" t="n">
        <v>32.2</v>
      </c>
      <c r="L395" s="1" t="n">
        <v>27.5</v>
      </c>
      <c r="M395" s="1" t="s">
        <v>17</v>
      </c>
    </row>
    <row r="396" customFormat="false" ht="15" hidden="true" customHeight="false" outlineLevel="0" collapsed="false">
      <c r="A396" s="1" t="n">
        <v>0</v>
      </c>
      <c r="B396" s="1" t="n">
        <v>0</v>
      </c>
      <c r="C396" s="1" t="s">
        <v>106</v>
      </c>
      <c r="D396" s="1" t="s">
        <v>513</v>
      </c>
      <c r="E396" s="1" t="s">
        <v>514</v>
      </c>
      <c r="F396" s="1" t="s">
        <v>16</v>
      </c>
      <c r="G396" s="1" t="n">
        <v>-23.8535923</v>
      </c>
      <c r="H396" s="1" t="n">
        <v>-46.9440587</v>
      </c>
      <c r="I396" s="1" t="n">
        <v>-23.9340646</v>
      </c>
      <c r="J396" s="1" t="n">
        <v>-47.0681478</v>
      </c>
      <c r="K396" s="1" t="n">
        <v>19.1</v>
      </c>
      <c r="L396" s="1" t="n">
        <v>15.4</v>
      </c>
      <c r="M396" s="1" t="s">
        <v>17</v>
      </c>
    </row>
    <row r="397" customFormat="false" ht="15" hidden="true" customHeight="false" outlineLevel="0" collapsed="false">
      <c r="A397" s="1" t="n">
        <v>0</v>
      </c>
      <c r="B397" s="1" t="n">
        <v>0</v>
      </c>
      <c r="C397" s="1" t="s">
        <v>24</v>
      </c>
      <c r="D397" s="1" t="s">
        <v>24</v>
      </c>
      <c r="E397" s="1" t="s">
        <v>515</v>
      </c>
      <c r="F397" s="1" t="s">
        <v>16</v>
      </c>
      <c r="G397" s="1" t="n">
        <v>-22.732081</v>
      </c>
      <c r="H397" s="1" t="n">
        <v>-48.572316</v>
      </c>
      <c r="I397" s="1" t="n">
        <v>-22.8913439388248</v>
      </c>
      <c r="J397" s="1" t="n">
        <v>-48.4962954591084</v>
      </c>
      <c r="K397" s="1" t="n">
        <v>23.6</v>
      </c>
      <c r="L397" s="1" t="n">
        <v>21.1</v>
      </c>
      <c r="M397" s="1" t="s">
        <v>17</v>
      </c>
    </row>
    <row r="398" customFormat="false" ht="15" hidden="true" customHeight="false" outlineLevel="0" collapsed="false">
      <c r="A398" s="1" t="n">
        <v>0</v>
      </c>
      <c r="B398" s="1" t="n">
        <v>0</v>
      </c>
      <c r="C398" s="1" t="s">
        <v>112</v>
      </c>
      <c r="D398" s="1" t="s">
        <v>164</v>
      </c>
      <c r="E398" s="1" t="s">
        <v>516</v>
      </c>
      <c r="F398" s="1" t="s">
        <v>16</v>
      </c>
      <c r="G398" s="1" t="n">
        <v>-22.745286</v>
      </c>
      <c r="H398" s="1" t="n">
        <v>-49.742829</v>
      </c>
      <c r="I398" s="1" t="n">
        <v>-22.983918</v>
      </c>
      <c r="J398" s="1" t="n">
        <v>-49.8691021</v>
      </c>
      <c r="K398" s="1" t="n">
        <v>39.3</v>
      </c>
      <c r="L398" s="1" t="n">
        <v>42.5</v>
      </c>
      <c r="M398" s="1" t="s">
        <v>17</v>
      </c>
    </row>
    <row r="399" customFormat="false" ht="15" hidden="true" customHeight="false" outlineLevel="0" collapsed="false">
      <c r="A399" s="1" t="n">
        <v>0</v>
      </c>
      <c r="B399" s="1" t="n">
        <v>0</v>
      </c>
      <c r="C399" s="1" t="s">
        <v>34</v>
      </c>
      <c r="D399" s="1" t="s">
        <v>34</v>
      </c>
      <c r="E399" s="1" t="s">
        <v>517</v>
      </c>
      <c r="F399" s="1" t="s">
        <v>16</v>
      </c>
      <c r="G399" s="1" t="n">
        <v>-23.5304843</v>
      </c>
      <c r="H399" s="1" t="n">
        <v>-47.1355473</v>
      </c>
      <c r="I399" s="1" t="n">
        <v>-23.5178154</v>
      </c>
      <c r="J399" s="1" t="n">
        <v>-47.4531223</v>
      </c>
      <c r="K399" s="1" t="n">
        <v>39.2</v>
      </c>
      <c r="L399" s="1" t="n">
        <v>38.1</v>
      </c>
      <c r="M399" s="1" t="s">
        <v>17</v>
      </c>
    </row>
    <row r="400" customFormat="false" ht="15" hidden="true" customHeight="false" outlineLevel="0" collapsed="false">
      <c r="A400" s="1" t="n">
        <v>0</v>
      </c>
      <c r="B400" s="1" t="n">
        <v>0</v>
      </c>
      <c r="C400" s="1" t="s">
        <v>21</v>
      </c>
      <c r="D400" s="1" t="s">
        <v>169</v>
      </c>
      <c r="E400" s="1" t="s">
        <v>518</v>
      </c>
      <c r="F400" s="1" t="s">
        <v>16</v>
      </c>
      <c r="G400" s="1" t="n">
        <v>-21.7118854</v>
      </c>
      <c r="H400" s="1" t="n">
        <v>-46.8284162</v>
      </c>
      <c r="I400" s="1" t="n">
        <v>-21.6037017</v>
      </c>
      <c r="J400" s="1" t="n">
        <v>-46.8940207</v>
      </c>
      <c r="K400" s="1" t="n">
        <v>18.2</v>
      </c>
      <c r="L400" s="1" t="n">
        <v>21.1</v>
      </c>
      <c r="M400" s="1" t="s">
        <v>17</v>
      </c>
    </row>
    <row r="401" customFormat="false" ht="15" hidden="true" customHeight="false" outlineLevel="0" collapsed="false">
      <c r="A401" s="1" t="n">
        <v>0</v>
      </c>
      <c r="B401" s="1" t="n">
        <v>0</v>
      </c>
      <c r="C401" s="1" t="s">
        <v>103</v>
      </c>
      <c r="D401" s="1" t="s">
        <v>249</v>
      </c>
      <c r="E401" s="1" t="s">
        <v>519</v>
      </c>
      <c r="F401" s="1" t="s">
        <v>16</v>
      </c>
      <c r="G401" s="1" t="n">
        <v>-21.4800208</v>
      </c>
      <c r="H401" s="1" t="n">
        <v>-47.5531095</v>
      </c>
      <c r="I401" s="1" t="n">
        <v>-21.3428894</v>
      </c>
      <c r="J401" s="1" t="n">
        <v>-47.728745</v>
      </c>
      <c r="K401" s="1" t="n">
        <v>29.7</v>
      </c>
      <c r="L401" s="1" t="n">
        <v>26.3</v>
      </c>
      <c r="M401" s="1" t="s">
        <v>17</v>
      </c>
    </row>
    <row r="402" customFormat="false" ht="15" hidden="true" customHeight="false" outlineLevel="0" collapsed="false">
      <c r="A402" s="1" t="n">
        <v>0</v>
      </c>
      <c r="B402" s="1" t="n">
        <v>0</v>
      </c>
      <c r="C402" s="1" t="s">
        <v>520</v>
      </c>
      <c r="D402" s="1" t="s">
        <v>520</v>
      </c>
      <c r="E402" s="1" t="s">
        <v>521</v>
      </c>
      <c r="F402" s="1" t="s">
        <v>16</v>
      </c>
      <c r="G402" s="1" t="n">
        <v>-23.9664177</v>
      </c>
      <c r="H402" s="1" t="n">
        <v>-46.3861401</v>
      </c>
      <c r="I402" s="1" t="n">
        <v>-23.9627618</v>
      </c>
      <c r="J402" s="1" t="n">
        <v>-46.3205396</v>
      </c>
      <c r="K402" s="1" t="n">
        <v>8.2</v>
      </c>
      <c r="L402" s="1" t="n">
        <v>12.1</v>
      </c>
      <c r="M402" s="1" t="s">
        <v>17</v>
      </c>
    </row>
    <row r="403" customFormat="false" ht="15" hidden="true" customHeight="false" outlineLevel="0" collapsed="false">
      <c r="A403" s="1" t="n">
        <v>0</v>
      </c>
      <c r="B403" s="1" t="n">
        <v>0</v>
      </c>
      <c r="C403" s="1" t="s">
        <v>34</v>
      </c>
      <c r="D403" s="1" t="s">
        <v>35</v>
      </c>
      <c r="E403" s="1" t="s">
        <v>522</v>
      </c>
      <c r="F403" s="1" t="s">
        <v>16</v>
      </c>
      <c r="G403" s="1" t="n">
        <v>-23.63974</v>
      </c>
      <c r="H403" s="1" t="n">
        <v>-47.824863</v>
      </c>
      <c r="I403" s="1" t="n">
        <v>-23.584442</v>
      </c>
      <c r="J403" s="1" t="n">
        <v>-48.0453462</v>
      </c>
      <c r="K403" s="1" t="n">
        <v>33.2</v>
      </c>
      <c r="L403" s="1" t="n">
        <v>37.8</v>
      </c>
      <c r="M403" s="1" t="s">
        <v>17</v>
      </c>
    </row>
    <row r="404" customFormat="false" ht="15" hidden="true" customHeight="false" outlineLevel="0" collapsed="false">
      <c r="A404" s="1" t="n">
        <v>0</v>
      </c>
      <c r="B404" s="1" t="n">
        <v>0</v>
      </c>
      <c r="C404" s="1" t="s">
        <v>24</v>
      </c>
      <c r="D404" s="1" t="s">
        <v>523</v>
      </c>
      <c r="E404" s="1" t="s">
        <v>524</v>
      </c>
      <c r="F404" s="1" t="s">
        <v>16</v>
      </c>
      <c r="G404" s="1" t="n">
        <v>-23.2747217</v>
      </c>
      <c r="H404" s="1" t="n">
        <v>-49.477186</v>
      </c>
      <c r="I404" s="1" t="n">
        <v>-23.1967235</v>
      </c>
      <c r="J404" s="1" t="n">
        <v>-49.3815505</v>
      </c>
      <c r="K404" s="1" t="n">
        <v>17.8</v>
      </c>
      <c r="L404" s="1" t="n">
        <v>18.7</v>
      </c>
      <c r="M404" s="1" t="s">
        <v>17</v>
      </c>
    </row>
    <row r="405" customFormat="false" ht="15" hidden="true" customHeight="false" outlineLevel="0" collapsed="false">
      <c r="A405" s="1" t="n">
        <v>0</v>
      </c>
      <c r="B405" s="1" t="n">
        <v>0</v>
      </c>
      <c r="C405" s="1" t="s">
        <v>13</v>
      </c>
      <c r="D405" s="1" t="s">
        <v>46</v>
      </c>
      <c r="E405" s="1" t="s">
        <v>525</v>
      </c>
      <c r="F405" s="1" t="s">
        <v>16</v>
      </c>
      <c r="G405" s="1" t="n">
        <v>-20.6581669</v>
      </c>
      <c r="H405" s="1" t="n">
        <v>-49.9229043</v>
      </c>
      <c r="I405" s="1" t="n">
        <v>-20.4262217</v>
      </c>
      <c r="J405" s="1" t="n">
        <v>-49.9787386</v>
      </c>
      <c r="K405" s="1" t="n">
        <v>32.6</v>
      </c>
      <c r="L405" s="1" t="n">
        <v>37.4</v>
      </c>
      <c r="M405" s="1" t="s">
        <v>17</v>
      </c>
    </row>
    <row r="406" customFormat="false" ht="15" hidden="true" customHeight="false" outlineLevel="0" collapsed="false">
      <c r="A406" s="1" t="n">
        <v>0</v>
      </c>
      <c r="B406" s="1" t="n">
        <v>0</v>
      </c>
      <c r="C406" s="1" t="s">
        <v>103</v>
      </c>
      <c r="D406" s="1" t="s">
        <v>103</v>
      </c>
      <c r="E406" s="1" t="s">
        <v>526</v>
      </c>
      <c r="F406" s="1" t="s">
        <v>16</v>
      </c>
      <c r="G406" s="1" t="n">
        <v>-21.3132591</v>
      </c>
      <c r="H406" s="1" t="n">
        <v>-47.5635821</v>
      </c>
      <c r="I406" s="1" t="n">
        <v>-21.1705705</v>
      </c>
      <c r="J406" s="1" t="n">
        <v>-47.8495501</v>
      </c>
      <c r="K406" s="1" t="n">
        <v>50.2</v>
      </c>
      <c r="L406" s="1" t="n">
        <v>46.3</v>
      </c>
      <c r="M406" s="1" t="s">
        <v>17</v>
      </c>
    </row>
    <row r="407" customFormat="false" ht="15" hidden="true" customHeight="false" outlineLevel="0" collapsed="false">
      <c r="A407" s="1" t="n">
        <v>0</v>
      </c>
      <c r="B407" s="1" t="n">
        <v>0</v>
      </c>
      <c r="C407" s="1" t="s">
        <v>82</v>
      </c>
      <c r="D407" s="1" t="s">
        <v>344</v>
      </c>
      <c r="E407" s="1" t="s">
        <v>527</v>
      </c>
      <c r="F407" s="1" t="s">
        <v>16</v>
      </c>
      <c r="G407" s="1" t="n">
        <v>-22.6126459</v>
      </c>
      <c r="H407" s="1" t="n">
        <v>-46.699986</v>
      </c>
      <c r="I407" s="1" t="n">
        <v>-22.6977574</v>
      </c>
      <c r="J407" s="1" t="n">
        <v>-46.7686754</v>
      </c>
      <c r="K407" s="1" t="n">
        <v>17.8</v>
      </c>
      <c r="L407" s="1" t="n">
        <v>18.1</v>
      </c>
      <c r="M407" s="1" t="s">
        <v>17</v>
      </c>
    </row>
    <row r="408" customFormat="false" ht="15" hidden="true" customHeight="false" outlineLevel="0" collapsed="false">
      <c r="A408" s="1" t="n">
        <v>0</v>
      </c>
      <c r="B408" s="1" t="n">
        <v>0</v>
      </c>
      <c r="C408" s="1" t="s">
        <v>103</v>
      </c>
      <c r="D408" s="1" t="s">
        <v>103</v>
      </c>
      <c r="E408" s="1" t="s">
        <v>528</v>
      </c>
      <c r="F408" s="1" t="s">
        <v>16</v>
      </c>
      <c r="G408" s="1" t="n">
        <v>-21.2066883</v>
      </c>
      <c r="H408" s="1" t="n">
        <v>-47.6053774</v>
      </c>
      <c r="I408" s="1" t="n">
        <v>-21.1705705</v>
      </c>
      <c r="J408" s="1" t="n">
        <v>-47.8495501</v>
      </c>
      <c r="K408" s="1" t="n">
        <v>29.3</v>
      </c>
      <c r="L408" s="1" t="n">
        <v>29.2</v>
      </c>
      <c r="M408" s="1" t="s">
        <v>17</v>
      </c>
    </row>
    <row r="409" customFormat="false" ht="15" hidden="true" customHeight="false" outlineLevel="0" collapsed="false">
      <c r="A409" s="1" t="n">
        <v>0</v>
      </c>
      <c r="B409" s="1" t="n">
        <v>0</v>
      </c>
      <c r="C409" s="1" t="s">
        <v>39</v>
      </c>
      <c r="D409" s="1" t="s">
        <v>40</v>
      </c>
      <c r="E409" s="1" t="s">
        <v>529</v>
      </c>
      <c r="F409" s="1" t="s">
        <v>16</v>
      </c>
      <c r="G409" s="1" t="n">
        <v>-20.810753</v>
      </c>
      <c r="H409" s="1" t="n">
        <v>-48.80538</v>
      </c>
      <c r="I409" s="1" t="n">
        <v>-20.7391605987288</v>
      </c>
      <c r="J409" s="1" t="n">
        <v>-48.9064223670385</v>
      </c>
      <c r="K409" s="1" t="n">
        <v>18.3</v>
      </c>
      <c r="L409" s="1" t="n">
        <v>15.7</v>
      </c>
      <c r="M409" s="1" t="s">
        <v>17</v>
      </c>
    </row>
    <row r="410" customFormat="false" ht="15" hidden="true" customHeight="false" outlineLevel="0" collapsed="false">
      <c r="A410" s="1" t="n">
        <v>0</v>
      </c>
      <c r="B410" s="1" t="n">
        <v>0</v>
      </c>
      <c r="C410" s="1" t="s">
        <v>61</v>
      </c>
      <c r="D410" s="1" t="s">
        <v>77</v>
      </c>
      <c r="E410" s="1" t="s">
        <v>530</v>
      </c>
      <c r="F410" s="1" t="s">
        <v>16</v>
      </c>
      <c r="G410" s="1" t="n">
        <v>-22.66384</v>
      </c>
      <c r="H410" s="1" t="n">
        <v>-44.852157</v>
      </c>
      <c r="I410" s="1" t="n">
        <v>-22.5754109</v>
      </c>
      <c r="J410" s="1" t="n">
        <v>-44.9635404</v>
      </c>
      <c r="K410" s="1" t="n">
        <v>25.7</v>
      </c>
      <c r="L410" s="1" t="n">
        <v>25.9</v>
      </c>
      <c r="M410" s="1" t="s">
        <v>17</v>
      </c>
    </row>
    <row r="411" customFormat="false" ht="15" hidden="true" customHeight="false" outlineLevel="0" collapsed="false">
      <c r="A411" s="1" t="n">
        <v>0</v>
      </c>
      <c r="B411" s="1" t="n">
        <v>0</v>
      </c>
      <c r="C411" s="1" t="s">
        <v>42</v>
      </c>
      <c r="D411" s="1" t="s">
        <v>531</v>
      </c>
      <c r="E411" s="1" t="s">
        <v>532</v>
      </c>
      <c r="F411" s="1" t="s">
        <v>16</v>
      </c>
      <c r="G411" s="1" t="n">
        <v>-20.6906175</v>
      </c>
      <c r="H411" s="1" t="n">
        <v>-50.9240834</v>
      </c>
      <c r="I411" s="1" t="n">
        <v>-20.6505909</v>
      </c>
      <c r="J411" s="1" t="n">
        <v>-51.1136886</v>
      </c>
      <c r="K411" s="1" t="n">
        <v>29.7</v>
      </c>
      <c r="L411" s="1" t="n">
        <v>27</v>
      </c>
      <c r="M411" s="1" t="s">
        <v>17</v>
      </c>
    </row>
    <row r="412" customFormat="false" ht="15" hidden="true" customHeight="false" outlineLevel="0" collapsed="false">
      <c r="A412" s="1" t="n">
        <v>0</v>
      </c>
      <c r="B412" s="1" t="n">
        <v>0</v>
      </c>
      <c r="C412" s="1" t="s">
        <v>42</v>
      </c>
      <c r="D412" s="1" t="s">
        <v>531</v>
      </c>
      <c r="E412" s="1" t="s">
        <v>533</v>
      </c>
      <c r="F412" s="1" t="s">
        <v>16</v>
      </c>
      <c r="G412" s="1" t="n">
        <v>-20.5011185</v>
      </c>
      <c r="H412" s="1" t="n">
        <v>-51.0246771</v>
      </c>
      <c r="I412" s="1" t="n">
        <v>-20.6505909</v>
      </c>
      <c r="J412" s="1" t="n">
        <v>-51.1136886</v>
      </c>
      <c r="K412" s="1" t="n">
        <v>27.9</v>
      </c>
      <c r="L412" s="1" t="n">
        <v>26.9</v>
      </c>
      <c r="M412" s="1" t="s">
        <v>17</v>
      </c>
    </row>
    <row r="413" customFormat="false" ht="15" hidden="true" customHeight="false" outlineLevel="0" collapsed="false">
      <c r="A413" s="1" t="n">
        <v>0</v>
      </c>
      <c r="B413" s="1" t="n">
        <v>0</v>
      </c>
      <c r="C413" s="1" t="s">
        <v>84</v>
      </c>
      <c r="D413" s="1" t="s">
        <v>288</v>
      </c>
      <c r="E413" s="1" t="s">
        <v>534</v>
      </c>
      <c r="F413" s="1" t="s">
        <v>16</v>
      </c>
      <c r="G413" s="1" t="n">
        <v>-23.5427842</v>
      </c>
      <c r="H413" s="1" t="n">
        <v>-46.3108391</v>
      </c>
      <c r="I413" s="1" t="n">
        <v>-23.5380075282902</v>
      </c>
      <c r="J413" s="1" t="n">
        <v>-46.3584959166986</v>
      </c>
      <c r="K413" s="1" t="n">
        <v>7.7</v>
      </c>
      <c r="L413" s="1" t="n">
        <v>11.6</v>
      </c>
      <c r="M413" s="1" t="s">
        <v>17</v>
      </c>
    </row>
    <row r="414" customFormat="false" ht="15" hidden="true" customHeight="false" outlineLevel="0" collapsed="false">
      <c r="A414" s="1" t="n">
        <v>0</v>
      </c>
      <c r="B414" s="1" t="n">
        <v>0</v>
      </c>
      <c r="C414" s="1" t="s">
        <v>54</v>
      </c>
      <c r="D414" s="1" t="s">
        <v>129</v>
      </c>
      <c r="E414" s="1" t="s">
        <v>535</v>
      </c>
      <c r="F414" s="1" t="s">
        <v>16</v>
      </c>
      <c r="G414" s="1" t="n">
        <v>-21.7373768</v>
      </c>
      <c r="H414" s="1" t="n">
        <v>-48.6880522</v>
      </c>
      <c r="I414" s="1" t="n">
        <v>-21.7546344</v>
      </c>
      <c r="J414" s="1" t="n">
        <v>-48.8285504</v>
      </c>
      <c r="K414" s="1" t="n">
        <v>20.5</v>
      </c>
      <c r="L414" s="1" t="n">
        <v>22.7</v>
      </c>
      <c r="M414" s="1" t="s">
        <v>17</v>
      </c>
    </row>
    <row r="415" customFormat="false" ht="15" hidden="true" customHeight="false" outlineLevel="0" collapsed="false">
      <c r="A415" s="1" t="n">
        <v>0</v>
      </c>
      <c r="B415" s="1" t="n">
        <v>0</v>
      </c>
      <c r="C415" s="1" t="s">
        <v>106</v>
      </c>
      <c r="D415" s="1" t="s">
        <v>536</v>
      </c>
      <c r="E415" s="1" t="s">
        <v>537</v>
      </c>
      <c r="F415" s="1" t="s">
        <v>16</v>
      </c>
      <c r="G415" s="1" t="n">
        <v>-23.6121912</v>
      </c>
      <c r="H415" s="1" t="n">
        <v>-46.7790539</v>
      </c>
      <c r="I415" s="1" t="n">
        <v>-23.6483663835611</v>
      </c>
      <c r="J415" s="1" t="n">
        <v>-46.8472272235919</v>
      </c>
      <c r="K415" s="1" t="n">
        <v>8.6</v>
      </c>
      <c r="L415" s="1" t="n">
        <v>8.6</v>
      </c>
      <c r="M415" s="1" t="s">
        <v>17</v>
      </c>
    </row>
    <row r="416" customFormat="false" ht="15" hidden="true" customHeight="false" outlineLevel="0" collapsed="false">
      <c r="A416" s="1" t="n">
        <v>0</v>
      </c>
      <c r="B416" s="1" t="n">
        <v>1</v>
      </c>
      <c r="C416" s="1" t="s">
        <v>18</v>
      </c>
      <c r="D416" s="1" t="s">
        <v>18</v>
      </c>
      <c r="E416" s="1" t="s">
        <v>538</v>
      </c>
      <c r="F416" s="1" t="s">
        <v>16</v>
      </c>
      <c r="G416" s="1" t="n">
        <v>-22.3893943</v>
      </c>
      <c r="H416" s="1" t="n">
        <v>-51.2888486</v>
      </c>
      <c r="I416" s="1" t="n">
        <v>-22.1321613052015</v>
      </c>
      <c r="J416" s="1" t="n">
        <v>-51.4073413591303</v>
      </c>
      <c r="K416" s="1" t="n">
        <v>37.4</v>
      </c>
      <c r="L416" s="1" t="n">
        <v>29.6</v>
      </c>
      <c r="M416" s="1" t="s">
        <v>17</v>
      </c>
    </row>
    <row r="417" customFormat="false" ht="15" hidden="true" customHeight="false" outlineLevel="0" collapsed="false">
      <c r="A417" s="1" t="n">
        <v>0</v>
      </c>
      <c r="B417" s="1" t="n">
        <v>0</v>
      </c>
      <c r="C417" s="1" t="s">
        <v>24</v>
      </c>
      <c r="D417" s="1" t="s">
        <v>94</v>
      </c>
      <c r="E417" s="1" t="s">
        <v>539</v>
      </c>
      <c r="F417" s="1" t="s">
        <v>16</v>
      </c>
      <c r="G417" s="1" t="n">
        <v>-23.4534312</v>
      </c>
      <c r="H417" s="1" t="n">
        <v>-49.4054454</v>
      </c>
      <c r="I417" s="1" t="n">
        <v>-23.5330527</v>
      </c>
      <c r="J417" s="1" t="n">
        <v>-49.2450779</v>
      </c>
      <c r="K417" s="1" t="n">
        <v>20.3</v>
      </c>
      <c r="L417" s="1" t="n">
        <v>21.1</v>
      </c>
      <c r="M417" s="1" t="s">
        <v>17</v>
      </c>
    </row>
    <row r="418" customFormat="false" ht="15" hidden="true" customHeight="false" outlineLevel="0" collapsed="false">
      <c r="A418" s="1" t="n">
        <v>0</v>
      </c>
      <c r="B418" s="1" t="n">
        <v>0</v>
      </c>
      <c r="C418" s="1" t="s">
        <v>39</v>
      </c>
      <c r="D418" s="1" t="s">
        <v>347</v>
      </c>
      <c r="E418" s="1" t="s">
        <v>540</v>
      </c>
      <c r="F418" s="1" t="s">
        <v>16</v>
      </c>
      <c r="G418" s="1" t="n">
        <v>-21.143144</v>
      </c>
      <c r="H418" s="1" t="n">
        <v>-48.511203</v>
      </c>
      <c r="I418" s="1" t="n">
        <v>-20.944913</v>
      </c>
      <c r="J418" s="1" t="n">
        <v>-48.4867109</v>
      </c>
      <c r="K418" s="1" t="n">
        <v>31.3</v>
      </c>
      <c r="L418" s="1" t="n">
        <v>35.6</v>
      </c>
      <c r="M418" s="1" t="s">
        <v>17</v>
      </c>
    </row>
    <row r="419" customFormat="false" ht="15" hidden="true" customHeight="false" outlineLevel="0" collapsed="false">
      <c r="A419" s="1" t="n">
        <v>0</v>
      </c>
      <c r="B419" s="1" t="n">
        <v>0</v>
      </c>
      <c r="C419" s="1" t="s">
        <v>39</v>
      </c>
      <c r="D419" s="1" t="s">
        <v>347</v>
      </c>
      <c r="E419" s="1" t="s">
        <v>541</v>
      </c>
      <c r="F419" s="1" t="s">
        <v>16</v>
      </c>
      <c r="G419" s="1" t="n">
        <v>-21.1238184</v>
      </c>
      <c r="H419" s="1" t="n">
        <v>-48.4512476</v>
      </c>
      <c r="I419" s="1" t="n">
        <v>-20.944913</v>
      </c>
      <c r="J419" s="1" t="n">
        <v>-48.4867109</v>
      </c>
      <c r="K419" s="1" t="n">
        <v>23.8</v>
      </c>
      <c r="L419" s="1" t="n">
        <v>27</v>
      </c>
      <c r="M419" s="1" t="s">
        <v>17</v>
      </c>
    </row>
    <row r="420" customFormat="false" ht="15" hidden="true" customHeight="false" outlineLevel="0" collapsed="false">
      <c r="A420" s="1" t="n">
        <v>0</v>
      </c>
      <c r="B420" s="1" t="n">
        <v>0</v>
      </c>
      <c r="C420" s="1" t="s">
        <v>21</v>
      </c>
      <c r="D420" s="1" t="s">
        <v>542</v>
      </c>
      <c r="E420" s="1" t="s">
        <v>543</v>
      </c>
      <c r="F420" s="1" t="s">
        <v>16</v>
      </c>
      <c r="G420" s="1" t="n">
        <v>-21.70292</v>
      </c>
      <c r="H420" s="1" t="n">
        <v>-47.270344</v>
      </c>
      <c r="I420" s="1" t="n">
        <v>-21.8210642193172</v>
      </c>
      <c r="J420" s="1" t="n">
        <v>-47.2592380977589</v>
      </c>
      <c r="K420" s="1" t="n">
        <v>17.2</v>
      </c>
      <c r="L420" s="1" t="n">
        <v>17.7</v>
      </c>
      <c r="M420" s="1" t="s">
        <v>17</v>
      </c>
    </row>
    <row r="421" customFormat="false" ht="15" hidden="true" customHeight="false" outlineLevel="0" collapsed="false">
      <c r="A421" s="1" t="n">
        <v>0</v>
      </c>
      <c r="B421" s="1" t="n">
        <v>0</v>
      </c>
      <c r="C421" s="1" t="s">
        <v>34</v>
      </c>
      <c r="D421" s="1" t="s">
        <v>261</v>
      </c>
      <c r="E421" s="1" t="s">
        <v>544</v>
      </c>
      <c r="F421" s="1" t="s">
        <v>16</v>
      </c>
      <c r="G421" s="1" t="n">
        <v>-23.9638345</v>
      </c>
      <c r="H421" s="1" t="n">
        <v>-47.5067136</v>
      </c>
      <c r="I421" s="1" t="n">
        <v>-23.7131624</v>
      </c>
      <c r="J421" s="1" t="n">
        <v>-47.4193369</v>
      </c>
      <c r="K421" s="1" t="n">
        <v>36.2</v>
      </c>
      <c r="L421" s="1" t="n">
        <v>36.5</v>
      </c>
      <c r="M421" s="1" t="s">
        <v>17</v>
      </c>
    </row>
    <row r="422" customFormat="false" ht="15" hidden="true" customHeight="false" outlineLevel="0" collapsed="false">
      <c r="A422" s="1" t="n">
        <v>0</v>
      </c>
      <c r="B422" s="1" t="n">
        <v>0</v>
      </c>
      <c r="C422" s="1" t="s">
        <v>21</v>
      </c>
      <c r="D422" s="1" t="s">
        <v>199</v>
      </c>
      <c r="E422" s="1" t="s">
        <v>545</v>
      </c>
      <c r="F422" s="1" t="s">
        <v>16</v>
      </c>
      <c r="G422" s="1" t="n">
        <v>-21.46824</v>
      </c>
      <c r="H422" s="1" t="n">
        <v>-46.7493221</v>
      </c>
      <c r="I422" s="1" t="n">
        <v>-21.5331168</v>
      </c>
      <c r="J422" s="1" t="n">
        <v>-46.6452392</v>
      </c>
      <c r="K422" s="1" t="n">
        <v>14.8</v>
      </c>
      <c r="L422" s="1" t="n">
        <v>15.7</v>
      </c>
      <c r="M422" s="1" t="s">
        <v>17</v>
      </c>
    </row>
    <row r="423" customFormat="false" ht="15" hidden="true" customHeight="false" outlineLevel="0" collapsed="false">
      <c r="A423" s="1" t="n">
        <v>0</v>
      </c>
      <c r="B423" s="1" t="n">
        <v>0</v>
      </c>
      <c r="C423" s="1" t="s">
        <v>39</v>
      </c>
      <c r="D423" s="1" t="s">
        <v>347</v>
      </c>
      <c r="E423" s="1" t="s">
        <v>546</v>
      </c>
      <c r="F423" s="1" t="s">
        <v>16</v>
      </c>
      <c r="G423" s="1" t="n">
        <v>-21.07373</v>
      </c>
      <c r="H423" s="1" t="n">
        <v>-48.412553</v>
      </c>
      <c r="I423" s="1" t="n">
        <v>-20.944913</v>
      </c>
      <c r="J423" s="1" t="n">
        <v>-48.4867109</v>
      </c>
      <c r="K423" s="1" t="n">
        <v>19.9</v>
      </c>
      <c r="L423" s="1" t="n">
        <v>19.1</v>
      </c>
      <c r="M423" s="1" t="s">
        <v>17</v>
      </c>
    </row>
    <row r="424" customFormat="false" ht="15" hidden="true" customHeight="false" outlineLevel="0" collapsed="false">
      <c r="A424" s="1" t="n">
        <v>0</v>
      </c>
      <c r="B424" s="1" t="n">
        <v>0</v>
      </c>
      <c r="C424" s="1" t="s">
        <v>100</v>
      </c>
      <c r="D424" s="1" t="s">
        <v>100</v>
      </c>
      <c r="E424" s="1" t="s">
        <v>547</v>
      </c>
      <c r="F424" s="1" t="s">
        <v>16</v>
      </c>
      <c r="G424" s="1" t="n">
        <v>-23.9257829</v>
      </c>
      <c r="H424" s="1" t="n">
        <v>-48.7005328</v>
      </c>
      <c r="I424" s="1" t="n">
        <v>-23.9886708</v>
      </c>
      <c r="J424" s="1" t="n">
        <v>-48.8771605</v>
      </c>
      <c r="K424" s="1" t="n">
        <v>23.6</v>
      </c>
      <c r="L424" s="1" t="n">
        <v>21.8</v>
      </c>
      <c r="M424" s="1" t="s">
        <v>17</v>
      </c>
    </row>
    <row r="425" customFormat="false" ht="15" hidden="true" customHeight="false" outlineLevel="0" collapsed="false">
      <c r="A425" s="1" t="n">
        <v>0</v>
      </c>
      <c r="B425" s="1" t="n">
        <v>0</v>
      </c>
      <c r="C425" s="1" t="s">
        <v>18</v>
      </c>
      <c r="D425" s="1" t="s">
        <v>221</v>
      </c>
      <c r="E425" s="1" t="s">
        <v>548</v>
      </c>
      <c r="F425" s="1" t="s">
        <v>16</v>
      </c>
      <c r="G425" s="1" t="n">
        <v>-22.3038726</v>
      </c>
      <c r="H425" s="1" t="n">
        <v>-51.5628675</v>
      </c>
      <c r="I425" s="1" t="n">
        <v>-22.2758152</v>
      </c>
      <c r="J425" s="1" t="n">
        <v>-51.4940169</v>
      </c>
      <c r="K425" s="1" t="n">
        <v>9.4</v>
      </c>
      <c r="L425" s="1" t="n">
        <v>10.4</v>
      </c>
      <c r="M425" s="1" t="s">
        <v>17</v>
      </c>
    </row>
    <row r="426" customFormat="false" ht="15" hidden="true" customHeight="false" outlineLevel="0" collapsed="false">
      <c r="A426" s="1" t="n">
        <v>0</v>
      </c>
      <c r="B426" s="1" t="n">
        <v>0</v>
      </c>
      <c r="C426" s="1" t="s">
        <v>112</v>
      </c>
      <c r="D426" s="1" t="s">
        <v>112</v>
      </c>
      <c r="E426" s="1" t="s">
        <v>549</v>
      </c>
      <c r="F426" s="1" t="s">
        <v>16</v>
      </c>
      <c r="G426" s="1" t="n">
        <v>-22.7474736</v>
      </c>
      <c r="H426" s="1" t="n">
        <v>-50.5783374</v>
      </c>
      <c r="I426" s="1" t="n">
        <v>-22.6475712</v>
      </c>
      <c r="J426" s="1" t="n">
        <v>-50.4055842</v>
      </c>
      <c r="K426" s="1" t="n">
        <v>23.5</v>
      </c>
      <c r="L426" s="1" t="n">
        <v>19</v>
      </c>
      <c r="M426" s="1" t="s">
        <v>17</v>
      </c>
    </row>
    <row r="427" customFormat="false" ht="15" hidden="true" customHeight="false" outlineLevel="0" collapsed="false">
      <c r="A427" s="1" t="n">
        <v>0</v>
      </c>
      <c r="B427" s="1" t="n">
        <v>0</v>
      </c>
      <c r="C427" s="1" t="s">
        <v>24</v>
      </c>
      <c r="D427" s="1" t="s">
        <v>523</v>
      </c>
      <c r="E427" s="1" t="s">
        <v>550</v>
      </c>
      <c r="F427" s="1" t="s">
        <v>16</v>
      </c>
      <c r="G427" s="1" t="n">
        <v>-23.3437238</v>
      </c>
      <c r="H427" s="1" t="n">
        <v>-49.3772468</v>
      </c>
      <c r="I427" s="1" t="n">
        <v>-23.1967235</v>
      </c>
      <c r="J427" s="1" t="n">
        <v>-49.3815505</v>
      </c>
      <c r="K427" s="1" t="n">
        <v>21.4</v>
      </c>
      <c r="L427" s="1" t="n">
        <v>25.5</v>
      </c>
      <c r="M427" s="1" t="s">
        <v>17</v>
      </c>
    </row>
    <row r="428" customFormat="false" ht="15" hidden="true" customHeight="false" outlineLevel="0" collapsed="false">
      <c r="A428" s="1" t="n">
        <v>0</v>
      </c>
      <c r="B428" s="1" t="n">
        <v>0</v>
      </c>
      <c r="C428" s="1" t="s">
        <v>39</v>
      </c>
      <c r="D428" s="1" t="s">
        <v>347</v>
      </c>
      <c r="E428" s="1" t="s">
        <v>551</v>
      </c>
      <c r="F428" s="1" t="s">
        <v>16</v>
      </c>
      <c r="G428" s="1" t="n">
        <v>-20.787015</v>
      </c>
      <c r="H428" s="1" t="n">
        <v>-48.331442</v>
      </c>
      <c r="I428" s="1" t="n">
        <v>-20.944913</v>
      </c>
      <c r="J428" s="1" t="n">
        <v>-48.4867109</v>
      </c>
      <c r="K428" s="1" t="n">
        <v>32.4</v>
      </c>
      <c r="L428" s="1" t="n">
        <v>32.7</v>
      </c>
      <c r="M428" s="1" t="s">
        <v>17</v>
      </c>
    </row>
    <row r="429" customFormat="false" ht="15" hidden="true" customHeight="false" outlineLevel="0" collapsed="false">
      <c r="A429" s="1" t="n">
        <v>0</v>
      </c>
      <c r="B429" s="1" t="n">
        <v>0</v>
      </c>
      <c r="C429" s="1" t="s">
        <v>34</v>
      </c>
      <c r="D429" s="1" t="s">
        <v>121</v>
      </c>
      <c r="E429" s="1" t="s">
        <v>552</v>
      </c>
      <c r="F429" s="1" t="s">
        <v>16</v>
      </c>
      <c r="G429" s="1" t="n">
        <v>-23.1030302</v>
      </c>
      <c r="H429" s="1" t="n">
        <v>-47.7147937</v>
      </c>
      <c r="I429" s="1" t="n">
        <v>-23.3522859</v>
      </c>
      <c r="J429" s="1" t="n">
        <v>-47.8445248</v>
      </c>
      <c r="K429" s="1" t="n">
        <v>35.2</v>
      </c>
      <c r="L429" s="1" t="n">
        <v>29.9</v>
      </c>
      <c r="M429" s="1" t="s">
        <v>17</v>
      </c>
    </row>
    <row r="430" customFormat="false" ht="15" hidden="true" customHeight="false" outlineLevel="0" collapsed="false">
      <c r="A430" s="1" t="n">
        <v>0</v>
      </c>
      <c r="B430" s="1" t="n">
        <v>0</v>
      </c>
      <c r="C430" s="1" t="s">
        <v>112</v>
      </c>
      <c r="D430" s="1" t="s">
        <v>164</v>
      </c>
      <c r="E430" s="1" t="s">
        <v>553</v>
      </c>
      <c r="F430" s="1" t="s">
        <v>16</v>
      </c>
      <c r="G430" s="1" t="n">
        <v>-23.2064076</v>
      </c>
      <c r="H430" s="1" t="n">
        <v>-49.6045576</v>
      </c>
      <c r="I430" s="1" t="n">
        <v>-22.983918</v>
      </c>
      <c r="J430" s="1" t="n">
        <v>-49.8691021</v>
      </c>
      <c r="K430" s="1" t="n">
        <v>62.9</v>
      </c>
      <c r="L430" s="1" t="n">
        <v>57.5</v>
      </c>
      <c r="M430" s="1" t="s">
        <v>17</v>
      </c>
    </row>
    <row r="431" customFormat="false" ht="15" hidden="true" customHeight="false" outlineLevel="0" collapsed="false">
      <c r="A431" s="1" t="n">
        <v>0</v>
      </c>
      <c r="B431" s="1" t="n">
        <v>0</v>
      </c>
      <c r="C431" s="1" t="s">
        <v>24</v>
      </c>
      <c r="D431" s="1" t="s">
        <v>24</v>
      </c>
      <c r="E431" s="1" t="s">
        <v>554</v>
      </c>
      <c r="F431" s="1" t="s">
        <v>16</v>
      </c>
      <c r="G431" s="1" t="n">
        <v>-23.2478026</v>
      </c>
      <c r="H431" s="1" t="n">
        <v>-48.1941034</v>
      </c>
      <c r="I431" s="1" t="n">
        <v>-22.8913439388248</v>
      </c>
      <c r="J431" s="1" t="n">
        <v>-48.4962954591084</v>
      </c>
      <c r="K431" s="1" t="n">
        <v>76</v>
      </c>
      <c r="L431" s="1" t="n">
        <v>58.2</v>
      </c>
      <c r="M431" s="1" t="s">
        <v>17</v>
      </c>
    </row>
    <row r="432" customFormat="false" ht="15" hidden="true" customHeight="false" outlineLevel="0" collapsed="false">
      <c r="A432" s="1" t="n">
        <v>0</v>
      </c>
      <c r="B432" s="1" t="n">
        <v>0</v>
      </c>
      <c r="C432" s="1" t="s">
        <v>30</v>
      </c>
      <c r="D432" s="1" t="s">
        <v>97</v>
      </c>
      <c r="E432" s="1" t="s">
        <v>555</v>
      </c>
      <c r="F432" s="1" t="s">
        <v>16</v>
      </c>
      <c r="G432" s="1" t="n">
        <v>-22.4302536</v>
      </c>
      <c r="H432" s="1" t="n">
        <v>-48.1690653</v>
      </c>
      <c r="I432" s="1" t="n">
        <v>-22.293224</v>
      </c>
      <c r="J432" s="1" t="n">
        <v>-48.5608001</v>
      </c>
      <c r="K432" s="1" t="n">
        <v>53.8</v>
      </c>
      <c r="L432" s="1" t="n">
        <v>49.6</v>
      </c>
      <c r="M432" s="1" t="s">
        <v>17</v>
      </c>
    </row>
    <row r="433" customFormat="false" ht="15" hidden="true" customHeight="false" outlineLevel="0" collapsed="false">
      <c r="A433" s="1" t="n">
        <v>0</v>
      </c>
      <c r="B433" s="1" t="n">
        <v>0</v>
      </c>
      <c r="C433" s="1" t="s">
        <v>54</v>
      </c>
      <c r="D433" s="1" t="s">
        <v>54</v>
      </c>
      <c r="E433" s="1" t="s">
        <v>556</v>
      </c>
      <c r="F433" s="1" t="s">
        <v>16</v>
      </c>
      <c r="G433" s="1" t="n">
        <v>-22.0410733</v>
      </c>
      <c r="H433" s="1" t="n">
        <v>-48.3350302</v>
      </c>
      <c r="I433" s="1" t="n">
        <v>-21.8050425399424</v>
      </c>
      <c r="J433" s="1" t="n">
        <v>-48.1712910931619</v>
      </c>
      <c r="K433" s="1" t="n">
        <v>40.2</v>
      </c>
      <c r="L433" s="1" t="n">
        <v>34.5</v>
      </c>
      <c r="M433" s="1" t="s">
        <v>17</v>
      </c>
    </row>
    <row r="434" customFormat="false" ht="15" hidden="true" customHeight="false" outlineLevel="0" collapsed="false">
      <c r="A434" s="1" t="n">
        <v>0</v>
      </c>
      <c r="B434" s="1" t="n">
        <v>1</v>
      </c>
      <c r="C434" s="1" t="s">
        <v>61</v>
      </c>
      <c r="D434" s="1" t="s">
        <v>61</v>
      </c>
      <c r="E434" s="1" t="s">
        <v>557</v>
      </c>
      <c r="F434" s="1" t="s">
        <v>16</v>
      </c>
      <c r="G434" s="1" t="n">
        <v>-22.9641763</v>
      </c>
      <c r="H434" s="1" t="n">
        <v>-45.5489548</v>
      </c>
      <c r="I434" s="1" t="n">
        <v>-23.0300597</v>
      </c>
      <c r="J434" s="1" t="n">
        <v>-45.5673225</v>
      </c>
      <c r="K434" s="1" t="n">
        <v>8.7</v>
      </c>
      <c r="L434" s="1" t="n">
        <v>11</v>
      </c>
      <c r="M434" s="1" t="s">
        <v>17</v>
      </c>
    </row>
    <row r="435" customFormat="false" ht="15" hidden="true" customHeight="false" outlineLevel="0" collapsed="false">
      <c r="A435" s="1" t="n">
        <v>0</v>
      </c>
      <c r="B435" s="1" t="n">
        <v>0</v>
      </c>
      <c r="C435" s="1" t="s">
        <v>64</v>
      </c>
      <c r="D435" s="1" t="s">
        <v>364</v>
      </c>
      <c r="E435" s="1" t="s">
        <v>558</v>
      </c>
      <c r="F435" s="1" t="s">
        <v>16</v>
      </c>
      <c r="G435" s="1" t="n">
        <v>-20.234355</v>
      </c>
      <c r="H435" s="1" t="n">
        <v>-50.890528</v>
      </c>
      <c r="I435" s="1" t="n">
        <v>-20.2143637079368</v>
      </c>
      <c r="J435" s="1" t="n">
        <v>-50.9283364543431</v>
      </c>
      <c r="K435" s="1" t="n">
        <v>5.7</v>
      </c>
      <c r="L435" s="1" t="n">
        <v>8.7</v>
      </c>
      <c r="M435" s="1" t="s">
        <v>17</v>
      </c>
    </row>
    <row r="436" customFormat="false" ht="15" hidden="true" customHeight="false" outlineLevel="0" collapsed="false">
      <c r="A436" s="1" t="n">
        <v>0</v>
      </c>
      <c r="B436" s="1" t="n">
        <v>0</v>
      </c>
      <c r="C436" s="1" t="s">
        <v>82</v>
      </c>
      <c r="D436" s="1" t="s">
        <v>305</v>
      </c>
      <c r="E436" s="1" t="s">
        <v>559</v>
      </c>
      <c r="F436" s="1" t="s">
        <v>16</v>
      </c>
      <c r="G436" s="1" t="n">
        <v>-22.8129652</v>
      </c>
      <c r="H436" s="1" t="n">
        <v>-46.6935374</v>
      </c>
      <c r="I436" s="1" t="n">
        <v>-22.9452851</v>
      </c>
      <c r="J436" s="1" t="n">
        <v>-46.5497959</v>
      </c>
      <c r="K436" s="1" t="n">
        <v>23.6</v>
      </c>
      <c r="L436" s="1" t="n">
        <v>24.4</v>
      </c>
      <c r="M436" s="1" t="s">
        <v>17</v>
      </c>
    </row>
    <row r="437" customFormat="false" ht="15" hidden="true" customHeight="false" outlineLevel="0" collapsed="false">
      <c r="A437" s="1" t="n">
        <v>0</v>
      </c>
      <c r="B437" s="1" t="n">
        <v>0</v>
      </c>
      <c r="C437" s="1" t="s">
        <v>42</v>
      </c>
      <c r="D437" s="1" t="s">
        <v>134</v>
      </c>
      <c r="E437" s="1" t="s">
        <v>560</v>
      </c>
      <c r="F437" s="1" t="s">
        <v>16</v>
      </c>
      <c r="G437" s="1" t="n">
        <v>-20.9491284</v>
      </c>
      <c r="H437" s="1" t="n">
        <v>-50.1082011</v>
      </c>
      <c r="I437" s="1" t="n">
        <v>-21.0613906</v>
      </c>
      <c r="J437" s="1" t="n">
        <v>-50.1468206</v>
      </c>
      <c r="K437" s="1" t="n">
        <v>19.1</v>
      </c>
      <c r="L437" s="1" t="n">
        <v>20.8</v>
      </c>
      <c r="M437" s="1" t="s">
        <v>17</v>
      </c>
    </row>
    <row r="438" customFormat="false" ht="15" hidden="true" customHeight="false" outlineLevel="0" collapsed="false">
      <c r="A438" s="1" t="n">
        <v>0</v>
      </c>
      <c r="B438" s="1" t="n">
        <v>0</v>
      </c>
      <c r="C438" s="1" t="s">
        <v>64</v>
      </c>
      <c r="D438" s="1" t="s">
        <v>270</v>
      </c>
      <c r="E438" s="1" t="s">
        <v>561</v>
      </c>
      <c r="F438" s="1" t="s">
        <v>16</v>
      </c>
      <c r="G438" s="1" t="n">
        <v>-20.0530658</v>
      </c>
      <c r="H438" s="1" t="n">
        <v>-50.4763212</v>
      </c>
      <c r="I438" s="1" t="n">
        <v>-20.0046951</v>
      </c>
      <c r="J438" s="1" t="n">
        <v>-50.3707862</v>
      </c>
      <c r="K438" s="1" t="n">
        <v>20.8</v>
      </c>
      <c r="L438" s="1" t="n">
        <v>21.1</v>
      </c>
      <c r="M438" s="1" t="s">
        <v>17</v>
      </c>
    </row>
    <row r="439" customFormat="false" ht="15" hidden="true" customHeight="false" outlineLevel="0" collapsed="false">
      <c r="A439" s="1" t="n">
        <v>0</v>
      </c>
      <c r="B439" s="1" t="n">
        <v>0</v>
      </c>
      <c r="C439" s="1" t="s">
        <v>13</v>
      </c>
      <c r="D439" s="1" t="s">
        <v>14</v>
      </c>
      <c r="E439" s="1" t="s">
        <v>562</v>
      </c>
      <c r="F439" s="1" t="s">
        <v>16</v>
      </c>
      <c r="G439" s="1" t="n">
        <v>-21.1637674</v>
      </c>
      <c r="H439" s="1" t="n">
        <v>-49.7167796</v>
      </c>
      <c r="I439" s="1" t="n">
        <v>-21.0529053</v>
      </c>
      <c r="J439" s="1" t="n">
        <v>-49.6891417</v>
      </c>
      <c r="K439" s="1" t="n">
        <v>16.8</v>
      </c>
      <c r="L439" s="1" t="n">
        <v>14.8</v>
      </c>
      <c r="M439" s="1" t="s">
        <v>17</v>
      </c>
    </row>
    <row r="440" customFormat="false" ht="15" hidden="false" customHeight="false" outlineLevel="0" collapsed="false">
      <c r="A440" s="1" t="n">
        <v>0</v>
      </c>
      <c r="B440" s="1" t="n">
        <v>1</v>
      </c>
      <c r="C440" s="1" t="s">
        <v>49</v>
      </c>
      <c r="D440" s="1" t="s">
        <v>49</v>
      </c>
      <c r="E440" s="1" t="s">
        <v>563</v>
      </c>
      <c r="F440" s="1" t="s">
        <v>51</v>
      </c>
      <c r="G440" s="1" t="n">
        <v>-22.5261054</v>
      </c>
      <c r="H440" s="1" t="n">
        <v>-49.6635412</v>
      </c>
      <c r="I440" s="1" t="n">
        <v>-22.227114</v>
      </c>
      <c r="J440" s="1" t="n">
        <v>-49.9359818</v>
      </c>
      <c r="K440" s="1" t="n">
        <v>60.8</v>
      </c>
      <c r="L440" s="1" t="n">
        <v>61.7</v>
      </c>
      <c r="M440" s="1" t="s">
        <v>17</v>
      </c>
    </row>
    <row r="441" customFormat="false" ht="15" hidden="false" customHeight="false" outlineLevel="0" collapsed="false">
      <c r="A441" s="1" t="n">
        <v>0</v>
      </c>
      <c r="B441" s="1" t="n">
        <v>1</v>
      </c>
      <c r="C441" s="1" t="s">
        <v>49</v>
      </c>
      <c r="D441" s="1" t="s">
        <v>49</v>
      </c>
      <c r="E441" s="1" t="s">
        <v>563</v>
      </c>
      <c r="F441" s="1" t="s">
        <v>52</v>
      </c>
      <c r="G441" s="1" t="n">
        <v>-22.5261054</v>
      </c>
      <c r="H441" s="1" t="n">
        <v>-49.6635412</v>
      </c>
      <c r="I441" s="1" t="n">
        <v>-22.224027</v>
      </c>
      <c r="J441" s="1" t="n">
        <v>-49.9472085</v>
      </c>
      <c r="K441" s="1" t="n">
        <v>61.8</v>
      </c>
      <c r="L441" s="1" t="n">
        <v>61.3</v>
      </c>
      <c r="M441" s="1" t="s">
        <v>17</v>
      </c>
    </row>
    <row r="442" customFormat="false" ht="15" hidden="true" customHeight="false" outlineLevel="0" collapsed="false">
      <c r="A442" s="1" t="n">
        <v>0</v>
      </c>
      <c r="B442" s="1" t="n">
        <v>0</v>
      </c>
      <c r="C442" s="1" t="s">
        <v>13</v>
      </c>
      <c r="D442" s="1" t="s">
        <v>14</v>
      </c>
      <c r="E442" s="1" t="s">
        <v>564</v>
      </c>
      <c r="F442" s="1" t="s">
        <v>16</v>
      </c>
      <c r="G442" s="1" t="n">
        <v>-20.8877642</v>
      </c>
      <c r="H442" s="1" t="n">
        <v>-49.8976558</v>
      </c>
      <c r="I442" s="1" t="n">
        <v>-21.0529053</v>
      </c>
      <c r="J442" s="1" t="n">
        <v>-49.6891417</v>
      </c>
      <c r="K442" s="1" t="n">
        <v>35.4</v>
      </c>
      <c r="L442" s="1" t="n">
        <v>39.6</v>
      </c>
      <c r="M442" s="1" t="s">
        <v>17</v>
      </c>
    </row>
    <row r="443" customFormat="false" ht="15" hidden="true" customHeight="false" outlineLevel="0" collapsed="false">
      <c r="A443" s="1" t="n">
        <v>0</v>
      </c>
      <c r="B443" s="1" t="n">
        <v>0</v>
      </c>
      <c r="C443" s="1" t="s">
        <v>64</v>
      </c>
      <c r="D443" s="1" t="s">
        <v>64</v>
      </c>
      <c r="E443" s="1" t="s">
        <v>565</v>
      </c>
      <c r="F443" s="1" t="s">
        <v>16</v>
      </c>
      <c r="G443" s="1" t="n">
        <v>-20.244491</v>
      </c>
      <c r="H443" s="1" t="n">
        <v>-50.6450868</v>
      </c>
      <c r="I443" s="1" t="n">
        <v>-20.2667765</v>
      </c>
      <c r="J443" s="1" t="n">
        <v>-50.5425068</v>
      </c>
      <c r="K443" s="1" t="n">
        <v>11.9</v>
      </c>
      <c r="L443" s="1" t="n">
        <v>11.2</v>
      </c>
      <c r="M443" s="1" t="s">
        <v>17</v>
      </c>
    </row>
    <row r="444" customFormat="false" ht="15" hidden="true" customHeight="false" outlineLevel="0" collapsed="false">
      <c r="A444" s="1" t="n">
        <v>0</v>
      </c>
      <c r="B444" s="1" t="n">
        <v>0</v>
      </c>
      <c r="C444" s="1" t="s">
        <v>30</v>
      </c>
      <c r="D444" s="1" t="s">
        <v>149</v>
      </c>
      <c r="E444" s="1" t="s">
        <v>566</v>
      </c>
      <c r="F444" s="1" t="s">
        <v>16</v>
      </c>
      <c r="G444" s="1" t="n">
        <v>-21.7846064</v>
      </c>
      <c r="H444" s="1" t="n">
        <v>-49.2819702</v>
      </c>
      <c r="I444" s="1" t="n">
        <v>-21.6721141</v>
      </c>
      <c r="J444" s="1" t="n">
        <v>-49.7555107</v>
      </c>
      <c r="K444" s="1" t="n">
        <v>70.5</v>
      </c>
      <c r="L444" s="1" t="n">
        <v>56.3</v>
      </c>
      <c r="M444" s="1" t="s">
        <v>17</v>
      </c>
    </row>
    <row r="445" customFormat="false" ht="15" hidden="true" customHeight="false" outlineLevel="0" collapsed="false">
      <c r="A445" s="1" t="n">
        <v>0</v>
      </c>
      <c r="B445" s="1" t="n">
        <v>0</v>
      </c>
      <c r="C445" s="1" t="s">
        <v>13</v>
      </c>
      <c r="D445" s="1" t="s">
        <v>80</v>
      </c>
      <c r="E445" s="1" t="s">
        <v>567</v>
      </c>
      <c r="F445" s="1" t="s">
        <v>16</v>
      </c>
      <c r="G445" s="1" t="n">
        <v>-21.2027026</v>
      </c>
      <c r="H445" s="1" t="n">
        <v>-49.2921996</v>
      </c>
      <c r="I445" s="1" t="n">
        <v>-21.1407509</v>
      </c>
      <c r="J445" s="1" t="n">
        <v>-48.9754937</v>
      </c>
      <c r="K445" s="1" t="n">
        <v>39.3</v>
      </c>
      <c r="L445" s="1" t="n">
        <v>43.1</v>
      </c>
      <c r="M445" s="1" t="s">
        <v>17</v>
      </c>
    </row>
    <row r="446" customFormat="false" ht="15" hidden="true" customHeight="false" outlineLevel="0" collapsed="false">
      <c r="A446" s="1" t="n">
        <v>0</v>
      </c>
      <c r="B446" s="1" t="n">
        <v>0</v>
      </c>
      <c r="C446" s="1" t="s">
        <v>13</v>
      </c>
      <c r="D446" s="1" t="s">
        <v>46</v>
      </c>
      <c r="E446" s="1" t="s">
        <v>568</v>
      </c>
      <c r="F446" s="1" t="s">
        <v>16</v>
      </c>
      <c r="G446" s="1" t="n">
        <v>-20.4226107</v>
      </c>
      <c r="H446" s="1" t="n">
        <v>-50.0861511</v>
      </c>
      <c r="I446" s="1" t="n">
        <v>-20.4262217</v>
      </c>
      <c r="J446" s="1" t="n">
        <v>-49.9787386</v>
      </c>
      <c r="K446" s="1" t="n">
        <v>18</v>
      </c>
      <c r="L446" s="1" t="n">
        <v>17.4</v>
      </c>
      <c r="M446" s="1" t="s">
        <v>17</v>
      </c>
    </row>
    <row r="447" customFormat="false" ht="15" hidden="true" customHeight="false" outlineLevel="0" collapsed="false">
      <c r="A447" s="1" t="n">
        <v>0</v>
      </c>
      <c r="B447" s="1" t="n">
        <v>1</v>
      </c>
      <c r="C447" s="1" t="s">
        <v>82</v>
      </c>
      <c r="D447" s="1" t="s">
        <v>82</v>
      </c>
      <c r="E447" s="1" t="s">
        <v>569</v>
      </c>
      <c r="F447" s="1" t="s">
        <v>16</v>
      </c>
      <c r="G447" s="1" t="n">
        <v>-22.97056</v>
      </c>
      <c r="H447" s="1" t="n">
        <v>-46.99583</v>
      </c>
      <c r="I447" s="1" t="n">
        <v>-22.8267804850019</v>
      </c>
      <c r="J447" s="1" t="n">
        <v>-47.0640301726016</v>
      </c>
      <c r="K447" s="1" t="n">
        <v>22.1</v>
      </c>
      <c r="L447" s="1" t="n">
        <v>21.7</v>
      </c>
      <c r="M447" s="1" t="s">
        <v>17</v>
      </c>
    </row>
    <row r="448" customFormat="false" ht="15" hidden="true" customHeight="false" outlineLevel="0" collapsed="false">
      <c r="A448" s="1" t="n">
        <v>0</v>
      </c>
      <c r="B448" s="1" t="n">
        <v>0</v>
      </c>
      <c r="C448" s="1" t="s">
        <v>82</v>
      </c>
      <c r="D448" s="1" t="s">
        <v>305</v>
      </c>
      <c r="E448" s="1" t="s">
        <v>570</v>
      </c>
      <c r="F448" s="1" t="s">
        <v>16</v>
      </c>
      <c r="G448" s="1" t="n">
        <v>-22.8902379</v>
      </c>
      <c r="H448" s="1" t="n">
        <v>-46.4145366</v>
      </c>
      <c r="I448" s="1" t="n">
        <v>-22.9452851</v>
      </c>
      <c r="J448" s="1" t="n">
        <v>-46.5497959</v>
      </c>
      <c r="K448" s="1" t="n">
        <v>19.6</v>
      </c>
      <c r="L448" s="1" t="n">
        <v>20.5</v>
      </c>
      <c r="M448" s="1" t="s">
        <v>17</v>
      </c>
    </row>
    <row r="449" customFormat="false" ht="15" hidden="true" customHeight="false" outlineLevel="0" collapsed="false">
      <c r="A449" s="1" t="n">
        <v>0</v>
      </c>
      <c r="B449" s="1" t="n">
        <v>0</v>
      </c>
      <c r="C449" s="1" t="s">
        <v>21</v>
      </c>
      <c r="D449" s="1" t="s">
        <v>21</v>
      </c>
      <c r="E449" s="1" t="s">
        <v>571</v>
      </c>
      <c r="F449" s="1" t="s">
        <v>16</v>
      </c>
      <c r="G449" s="1" t="n">
        <v>-21.8310636</v>
      </c>
      <c r="H449" s="1" t="n">
        <v>-46.893303</v>
      </c>
      <c r="I449" s="1" t="n">
        <v>-21.9821955</v>
      </c>
      <c r="J449" s="1" t="n">
        <v>-46.7951574</v>
      </c>
      <c r="K449" s="1" t="n">
        <v>23.3</v>
      </c>
      <c r="L449" s="1" t="n">
        <v>23.4</v>
      </c>
      <c r="M449" s="1" t="s">
        <v>17</v>
      </c>
    </row>
    <row r="450" customFormat="false" ht="15" hidden="true" customHeight="false" outlineLevel="0" collapsed="false">
      <c r="A450" s="1" t="n">
        <v>0</v>
      </c>
      <c r="B450" s="1" t="n">
        <v>0</v>
      </c>
      <c r="C450" s="1" t="s">
        <v>106</v>
      </c>
      <c r="D450" s="1" t="s">
        <v>572</v>
      </c>
      <c r="E450" s="1" t="s">
        <v>573</v>
      </c>
      <c r="F450" s="1" t="s">
        <v>16</v>
      </c>
      <c r="G450" s="1" t="n">
        <v>-23.599338</v>
      </c>
      <c r="H450" s="1" t="n">
        <v>-47.022038</v>
      </c>
      <c r="I450" s="1" t="n">
        <v>-23.6086712</v>
      </c>
      <c r="J450" s="1" t="n">
        <v>-46.9202236</v>
      </c>
      <c r="K450" s="1" t="n">
        <v>15.3</v>
      </c>
      <c r="L450" s="1" t="n">
        <v>18.7</v>
      </c>
      <c r="M450" s="1" t="s">
        <v>17</v>
      </c>
    </row>
    <row r="451" customFormat="false" ht="15" hidden="true" customHeight="false" outlineLevel="0" collapsed="false">
      <c r="A451" s="1" t="n">
        <v>0</v>
      </c>
      <c r="B451" s="1" t="n">
        <v>1</v>
      </c>
      <c r="C451" s="1" t="s">
        <v>82</v>
      </c>
      <c r="D451" s="1" t="s">
        <v>143</v>
      </c>
      <c r="E451" s="1" t="s">
        <v>574</v>
      </c>
      <c r="F451" s="1" t="s">
        <v>146</v>
      </c>
      <c r="G451" s="1" t="n">
        <v>-23.2113889</v>
      </c>
      <c r="H451" s="1" t="n">
        <v>-46.8283333</v>
      </c>
      <c r="I451" s="1" t="n">
        <v>-23.205120222563</v>
      </c>
      <c r="J451" s="1" t="n">
        <v>-46.8921294032143</v>
      </c>
      <c r="K451" s="1" t="n">
        <v>8.4</v>
      </c>
      <c r="L451" s="1" t="n">
        <v>14</v>
      </c>
      <c r="M451" s="1" t="s">
        <v>17</v>
      </c>
    </row>
    <row r="452" customFormat="false" ht="15" hidden="true" customHeight="false" outlineLevel="0" collapsed="false">
      <c r="A452" s="1" t="n">
        <v>0</v>
      </c>
      <c r="B452" s="1" t="n">
        <v>1</v>
      </c>
      <c r="C452" s="1" t="s">
        <v>82</v>
      </c>
      <c r="D452" s="1" t="s">
        <v>143</v>
      </c>
      <c r="E452" s="1" t="s">
        <v>574</v>
      </c>
      <c r="F452" s="1" t="s">
        <v>145</v>
      </c>
      <c r="G452" s="1" t="n">
        <v>-23.2113889</v>
      </c>
      <c r="H452" s="1" t="n">
        <v>-46.8283333</v>
      </c>
      <c r="I452" s="1" t="n">
        <v>-23.1838628</v>
      </c>
      <c r="J452" s="1" t="n">
        <v>-46.8899187</v>
      </c>
      <c r="K452" s="1" t="n">
        <v>8.9</v>
      </c>
      <c r="L452" s="1" t="n">
        <v>12.7</v>
      </c>
      <c r="M452" s="1" t="s">
        <v>17</v>
      </c>
    </row>
    <row r="453" customFormat="false" ht="15" hidden="false" customHeight="false" outlineLevel="0" collapsed="false">
      <c r="A453" s="1" t="n">
        <v>0</v>
      </c>
      <c r="B453" s="1" t="n">
        <v>1</v>
      </c>
      <c r="C453" s="1" t="s">
        <v>49</v>
      </c>
      <c r="D453" s="1" t="s">
        <v>49</v>
      </c>
      <c r="E453" s="1" t="s">
        <v>575</v>
      </c>
      <c r="F453" s="1" t="s">
        <v>52</v>
      </c>
      <c r="G453" s="1" t="n">
        <v>-22.2212638</v>
      </c>
      <c r="H453" s="1" t="n">
        <v>-49.8243021</v>
      </c>
      <c r="I453" s="1" t="n">
        <v>-22.224027</v>
      </c>
      <c r="J453" s="1" t="n">
        <v>-49.9472085</v>
      </c>
      <c r="K453" s="1" t="n">
        <v>14.6</v>
      </c>
      <c r="L453" s="1" t="n">
        <v>15.2</v>
      </c>
      <c r="M453" s="1" t="s">
        <v>17</v>
      </c>
    </row>
    <row r="454" customFormat="false" ht="15" hidden="false" customHeight="false" outlineLevel="0" collapsed="false">
      <c r="A454" s="1" t="n">
        <v>0</v>
      </c>
      <c r="B454" s="1" t="n">
        <v>1</v>
      </c>
      <c r="C454" s="1" t="s">
        <v>49</v>
      </c>
      <c r="D454" s="1" t="s">
        <v>49</v>
      </c>
      <c r="E454" s="1" t="s">
        <v>575</v>
      </c>
      <c r="F454" s="1" t="s">
        <v>51</v>
      </c>
      <c r="G454" s="1" t="n">
        <v>-22.2212638</v>
      </c>
      <c r="H454" s="1" t="n">
        <v>-49.8243021</v>
      </c>
      <c r="I454" s="1" t="n">
        <v>-22.227114</v>
      </c>
      <c r="J454" s="1" t="n">
        <v>-49.9359818</v>
      </c>
      <c r="K454" s="1" t="n">
        <v>12.7</v>
      </c>
      <c r="L454" s="1" t="n">
        <v>13.6</v>
      </c>
      <c r="M454" s="1" t="s">
        <v>17</v>
      </c>
    </row>
    <row r="455" customFormat="false" ht="15" hidden="true" customHeight="false" outlineLevel="0" collapsed="false">
      <c r="A455" s="1" t="n">
        <v>0</v>
      </c>
      <c r="B455" s="1" t="n">
        <v>0</v>
      </c>
      <c r="C455" s="1" t="s">
        <v>82</v>
      </c>
      <c r="D455" s="1" t="s">
        <v>353</v>
      </c>
      <c r="E455" s="1" t="s">
        <v>576</v>
      </c>
      <c r="F455" s="1" t="s">
        <v>16</v>
      </c>
      <c r="G455" s="1" t="n">
        <v>-23.0298535</v>
      </c>
      <c r="H455" s="1" t="n">
        <v>-46.9749847</v>
      </c>
      <c r="I455" s="1" t="n">
        <v>-23.0070339</v>
      </c>
      <c r="J455" s="1" t="n">
        <v>-46.8327166</v>
      </c>
      <c r="K455" s="1" t="n">
        <v>17.8</v>
      </c>
      <c r="L455" s="1" t="n">
        <v>21.7</v>
      </c>
      <c r="M455" s="1" t="s">
        <v>17</v>
      </c>
    </row>
    <row r="456" customFormat="false" ht="15" hidden="true" customHeight="false" outlineLevel="0" collapsed="false">
      <c r="A456" s="1" t="n">
        <v>0</v>
      </c>
      <c r="B456" s="1" t="n">
        <v>0</v>
      </c>
      <c r="C456" s="1" t="s">
        <v>39</v>
      </c>
      <c r="D456" s="1" t="s">
        <v>347</v>
      </c>
      <c r="E456" s="1" t="s">
        <v>577</v>
      </c>
      <c r="F456" s="1" t="s">
        <v>16</v>
      </c>
      <c r="G456" s="1" t="n">
        <v>-20.8726051</v>
      </c>
      <c r="H456" s="1" t="n">
        <v>-48.2968122</v>
      </c>
      <c r="I456" s="1" t="n">
        <v>-20.944913</v>
      </c>
      <c r="J456" s="1" t="n">
        <v>-48.4867109</v>
      </c>
      <c r="K456" s="1" t="n">
        <v>24.2</v>
      </c>
      <c r="L456" s="1" t="n">
        <v>25.4</v>
      </c>
      <c r="M456" s="1" t="s">
        <v>17</v>
      </c>
    </row>
    <row r="457" customFormat="false" ht="15" hidden="true" customHeight="false" outlineLevel="0" collapsed="false">
      <c r="A457" s="1" t="n">
        <v>0</v>
      </c>
      <c r="B457" s="1" t="n">
        <v>0</v>
      </c>
      <c r="C457" s="1" t="s">
        <v>39</v>
      </c>
      <c r="D457" s="1" t="s">
        <v>347</v>
      </c>
      <c r="E457" s="1" t="s">
        <v>578</v>
      </c>
      <c r="F457" s="1" t="s">
        <v>16</v>
      </c>
      <c r="G457" s="1" t="n">
        <v>-21.171293</v>
      </c>
      <c r="H457" s="1" t="n">
        <v>-48.6299172</v>
      </c>
      <c r="I457" s="1" t="n">
        <v>-20.944913</v>
      </c>
      <c r="J457" s="1" t="n">
        <v>-48.4867109</v>
      </c>
      <c r="K457" s="1" t="n">
        <v>42.2</v>
      </c>
      <c r="L457" s="1" t="n">
        <v>37.7</v>
      </c>
      <c r="M457" s="1" t="s">
        <v>17</v>
      </c>
    </row>
    <row r="458" customFormat="false" ht="15" hidden="true" customHeight="false" outlineLevel="0" collapsed="false">
      <c r="A458" s="1" t="n">
        <v>0</v>
      </c>
      <c r="B458" s="1" t="n">
        <v>0</v>
      </c>
      <c r="C458" s="1" t="s">
        <v>64</v>
      </c>
      <c r="D458" s="1" t="s">
        <v>64</v>
      </c>
      <c r="E458" s="1" t="s">
        <v>579</v>
      </c>
      <c r="F458" s="1" t="s">
        <v>16</v>
      </c>
      <c r="G458" s="1" t="n">
        <v>-20.1978821</v>
      </c>
      <c r="H458" s="1" t="n">
        <v>-50.4847947</v>
      </c>
      <c r="I458" s="1" t="n">
        <v>-20.2667765</v>
      </c>
      <c r="J458" s="1" t="n">
        <v>-50.5425068</v>
      </c>
      <c r="K458" s="1" t="n">
        <v>14.5</v>
      </c>
      <c r="L458" s="1" t="n">
        <v>14.1</v>
      </c>
      <c r="M458" s="1" t="s">
        <v>17</v>
      </c>
    </row>
    <row r="459" customFormat="false" ht="15" hidden="true" customHeight="false" outlineLevel="0" collapsed="false">
      <c r="A459" s="1" t="n">
        <v>0</v>
      </c>
      <c r="B459" s="1" t="n">
        <v>0</v>
      </c>
      <c r="C459" s="1" t="s">
        <v>34</v>
      </c>
      <c r="D459" s="1" t="s">
        <v>34</v>
      </c>
      <c r="E459" s="1" t="s">
        <v>580</v>
      </c>
      <c r="F459" s="1" t="s">
        <v>16</v>
      </c>
      <c r="G459" s="1" t="n">
        <v>-23.5380539</v>
      </c>
      <c r="H459" s="1" t="n">
        <v>-47.4422137</v>
      </c>
      <c r="I459" s="1" t="n">
        <v>-23.5178154</v>
      </c>
      <c r="J459" s="1" t="n">
        <v>-47.4531223</v>
      </c>
      <c r="K459" s="1" t="n">
        <v>6.1</v>
      </c>
      <c r="L459" s="1" t="n">
        <v>7.7</v>
      </c>
      <c r="M459" s="1" t="s">
        <v>17</v>
      </c>
    </row>
    <row r="460" customFormat="false" ht="15" hidden="true" customHeight="false" outlineLevel="0" collapsed="false">
      <c r="A460" s="1" t="n">
        <v>0</v>
      </c>
      <c r="B460" s="1" t="n">
        <v>0</v>
      </c>
      <c r="C460" s="1" t="s">
        <v>13</v>
      </c>
      <c r="D460" s="1" t="s">
        <v>14</v>
      </c>
      <c r="E460" s="1" t="s">
        <v>581</v>
      </c>
      <c r="F460" s="1" t="s">
        <v>16</v>
      </c>
      <c r="G460" s="1" t="n">
        <v>-21.0523649</v>
      </c>
      <c r="H460" s="1" t="n">
        <v>-50.0514502</v>
      </c>
      <c r="I460" s="1" t="n">
        <v>-21.0529053</v>
      </c>
      <c r="J460" s="1" t="n">
        <v>-49.6891417</v>
      </c>
      <c r="K460" s="1" t="n">
        <v>46.3</v>
      </c>
      <c r="L460" s="1" t="n">
        <v>46.2</v>
      </c>
      <c r="M460" s="1" t="s">
        <v>17</v>
      </c>
    </row>
    <row r="461" customFormat="false" ht="15" hidden="false" customHeight="false" outlineLevel="0" collapsed="false">
      <c r="D461" s="3"/>
    </row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M460">
    <filterColumn colId="5">
      <filters>
        <filter val="14 ANOS E MAIS"/>
        <filter val="15 ANOS OU MAIS"/>
        <filter val="18 ANOS E MAIS"/>
        <filter val="ATE 13 ANOS"/>
        <filter val="ATE 14 ANOS"/>
        <filter val="ATE 17 ANOS"/>
      </filters>
    </filterColumn>
    <filterColumn colId="3">
      <filters>
        <filter val="MARILIA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N97" activeCellId="0" sqref="N97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4" min="4" style="1" width="10.14"/>
    <col collapsed="false" customWidth="true" hidden="false" outlineLevel="0" max="5" min="5" style="1" width="19.11"/>
    <col collapsed="false" customWidth="true" hidden="false" outlineLevel="0" max="6" min="6" style="1" width="16.47"/>
    <col collapsed="false" customWidth="true" hidden="false" outlineLevel="0" max="10" min="7" style="1" width="12.28"/>
    <col collapsed="false" customWidth="true" hidden="false" outlineLevel="0" max="11" min="11" style="1" width="14.37"/>
    <col collapsed="false" customWidth="true" hidden="false" outlineLevel="0" max="12" min="12" style="1" width="16.8"/>
    <col collapsed="false" customWidth="true" hidden="false" outlineLevel="0" max="13" min="13" style="1" width="13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582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s">
        <v>30</v>
      </c>
      <c r="D2" s="1" t="s">
        <v>30</v>
      </c>
      <c r="E2" s="1" t="s">
        <v>31</v>
      </c>
      <c r="F2" s="1" t="s">
        <v>32</v>
      </c>
      <c r="G2" s="1" t="n">
        <v>-22.4719836</v>
      </c>
      <c r="H2" s="1" t="n">
        <v>-48.9884476</v>
      </c>
      <c r="I2" s="1" t="n">
        <v>-22.3088056</v>
      </c>
      <c r="J2" s="1" t="n">
        <v>-49.0897729</v>
      </c>
      <c r="K2" s="1" t="n">
        <v>24.9</v>
      </c>
      <c r="L2" s="1" t="n">
        <v>23</v>
      </c>
      <c r="M2" s="1" t="s">
        <v>17</v>
      </c>
      <c r="N2" s="1" t="n">
        <v>0</v>
      </c>
    </row>
    <row r="3" customFormat="false" ht="13.8" hidden="false" customHeight="false" outlineLevel="0" collapsed="false">
      <c r="A3" s="1" t="n">
        <v>0</v>
      </c>
      <c r="B3" s="1" t="n">
        <v>1</v>
      </c>
      <c r="C3" s="1" t="s">
        <v>30</v>
      </c>
      <c r="D3" s="1" t="s">
        <v>30</v>
      </c>
      <c r="E3" s="1" t="s">
        <v>31</v>
      </c>
      <c r="F3" s="1" t="s">
        <v>33</v>
      </c>
      <c r="G3" s="1" t="n">
        <v>-22.4719836</v>
      </c>
      <c r="H3" s="1" t="n">
        <v>-48.9884476</v>
      </c>
      <c r="I3" s="1" t="n">
        <v>-22.3305675</v>
      </c>
      <c r="J3" s="1" t="n">
        <v>-49.0775289</v>
      </c>
      <c r="K3" s="1" t="n">
        <v>21.4</v>
      </c>
      <c r="L3" s="1" t="n">
        <v>18.6</v>
      </c>
      <c r="M3" s="1" t="s">
        <v>17</v>
      </c>
      <c r="N3" s="1" t="n">
        <v>0</v>
      </c>
    </row>
    <row r="4" customFormat="false" ht="13.8" hidden="false" customHeight="false" outlineLevel="0" collapsed="false">
      <c r="C4" s="1"/>
    </row>
    <row r="5" customFormat="false" ht="13.8" hidden="false" customHeight="false" outlineLevel="0" collapsed="false">
      <c r="A5" s="1" t="n">
        <v>0</v>
      </c>
      <c r="B5" s="1" t="n">
        <v>1</v>
      </c>
      <c r="C5" s="1" t="s">
        <v>30</v>
      </c>
      <c r="D5" s="1" t="s">
        <v>30</v>
      </c>
      <c r="E5" s="1" t="s">
        <v>76</v>
      </c>
      <c r="F5" s="1" t="s">
        <v>32</v>
      </c>
      <c r="G5" s="1" t="n">
        <v>-22.0301906</v>
      </c>
      <c r="H5" s="1" t="n">
        <v>-48.9111936</v>
      </c>
      <c r="I5" s="1" t="n">
        <v>-22.3305675</v>
      </c>
      <c r="J5" s="1" t="n">
        <v>-49.0775289</v>
      </c>
      <c r="K5" s="1" t="n">
        <v>44.8</v>
      </c>
      <c r="L5" s="1" t="n">
        <v>40.4</v>
      </c>
      <c r="M5" s="1" t="s">
        <v>17</v>
      </c>
      <c r="N5" s="1" t="n">
        <v>0.08</v>
      </c>
    </row>
    <row r="6" customFormat="false" ht="13.8" hidden="false" customHeight="false" outlineLevel="0" collapsed="false">
      <c r="A6" s="1" t="n">
        <v>0</v>
      </c>
      <c r="B6" s="1" t="n">
        <v>1</v>
      </c>
      <c r="C6" s="1" t="s">
        <v>30</v>
      </c>
      <c r="D6" s="1" t="s">
        <v>30</v>
      </c>
      <c r="E6" s="1" t="s">
        <v>76</v>
      </c>
      <c r="F6" s="1" t="s">
        <v>33</v>
      </c>
      <c r="G6" s="1" t="n">
        <v>-22.0301906</v>
      </c>
      <c r="H6" s="1" t="n">
        <v>-48.9111936</v>
      </c>
      <c r="I6" s="1" t="n">
        <v>-22.3088056</v>
      </c>
      <c r="J6" s="1" t="n">
        <v>-49.0897729</v>
      </c>
      <c r="K6" s="1" t="n">
        <v>43.3</v>
      </c>
      <c r="L6" s="1" t="n">
        <v>38.4</v>
      </c>
      <c r="M6" s="1" t="s">
        <v>17</v>
      </c>
      <c r="N6" s="1" t="n">
        <v>0.02</v>
      </c>
    </row>
    <row r="7" customFormat="false" ht="13.8" hidden="false" customHeight="false" outlineLevel="0" collapsed="false">
      <c r="C7" s="1"/>
    </row>
    <row r="8" customFormat="false" ht="13.8" hidden="false" customHeight="false" outlineLevel="0" collapsed="false">
      <c r="A8" s="1" t="n">
        <v>0</v>
      </c>
      <c r="B8" s="1" t="n">
        <v>1</v>
      </c>
      <c r="C8" s="1" t="s">
        <v>30</v>
      </c>
      <c r="D8" s="1" t="s">
        <v>30</v>
      </c>
      <c r="E8" s="1" t="s">
        <v>88</v>
      </c>
      <c r="F8" s="1" t="s">
        <v>32</v>
      </c>
      <c r="G8" s="1" t="n">
        <v>-22.1564662</v>
      </c>
      <c r="H8" s="1" t="n">
        <v>-49.3316395</v>
      </c>
      <c r="I8" s="1" t="n">
        <v>-22.3305675</v>
      </c>
      <c r="J8" s="1" t="n">
        <v>-49.0775289</v>
      </c>
      <c r="K8" s="1" t="n">
        <v>43.3</v>
      </c>
      <c r="L8" s="1" t="n">
        <v>35.7</v>
      </c>
      <c r="M8" s="1" t="s">
        <v>17</v>
      </c>
      <c r="N8" s="1" t="n">
        <v>0.13</v>
      </c>
    </row>
    <row r="9" customFormat="false" ht="13.8" hidden="false" customHeight="false" outlineLevel="0" collapsed="false">
      <c r="A9" s="1" t="n">
        <v>0</v>
      </c>
      <c r="B9" s="1" t="n">
        <v>1</v>
      </c>
      <c r="C9" s="1" t="s">
        <v>30</v>
      </c>
      <c r="D9" s="1" t="s">
        <v>30</v>
      </c>
      <c r="E9" s="1" t="s">
        <v>88</v>
      </c>
      <c r="F9" s="1" t="s">
        <v>33</v>
      </c>
      <c r="G9" s="1" t="n">
        <v>-22.1564662</v>
      </c>
      <c r="H9" s="1" t="n">
        <v>-49.3316395</v>
      </c>
      <c r="I9" s="1" t="n">
        <v>-22.3088056</v>
      </c>
      <c r="J9" s="1" t="n">
        <v>-49.0897729</v>
      </c>
      <c r="K9" s="1" t="n">
        <v>39.4</v>
      </c>
      <c r="L9" s="1" t="n">
        <v>33.1</v>
      </c>
      <c r="M9" s="1" t="s">
        <v>17</v>
      </c>
      <c r="N9" s="1" t="n">
        <v>0</v>
      </c>
    </row>
    <row r="10" customFormat="false" ht="13.8" hidden="false" customHeight="false" outlineLevel="0" collapsed="false">
      <c r="C10" s="1"/>
    </row>
    <row r="11" customFormat="false" ht="13.8" hidden="false" customHeight="false" outlineLevel="0" collapsed="false">
      <c r="A11" s="1" t="n">
        <v>0</v>
      </c>
      <c r="B11" s="1" t="n">
        <v>1</v>
      </c>
      <c r="C11" s="1" t="s">
        <v>30</v>
      </c>
      <c r="D11" s="1" t="s">
        <v>30</v>
      </c>
      <c r="E11" s="1" t="s">
        <v>257</v>
      </c>
      <c r="F11" s="1" t="s">
        <v>32</v>
      </c>
      <c r="G11" s="1" t="n">
        <v>-21.8928341</v>
      </c>
      <c r="H11" s="1" t="n">
        <v>-49.0226082</v>
      </c>
      <c r="I11" s="1" t="n">
        <v>-22.3305675</v>
      </c>
      <c r="J11" s="1" t="n">
        <v>-49.0775289</v>
      </c>
      <c r="K11" s="1" t="n">
        <v>52.2</v>
      </c>
      <c r="L11" s="1" t="n">
        <v>42.5</v>
      </c>
      <c r="M11" s="1" t="s">
        <v>17</v>
      </c>
      <c r="N11" s="1" t="n">
        <v>0</v>
      </c>
    </row>
    <row r="12" customFormat="false" ht="13.8" hidden="false" customHeight="false" outlineLevel="0" collapsed="false">
      <c r="A12" s="1" t="n">
        <v>0</v>
      </c>
      <c r="B12" s="1" t="n">
        <v>1</v>
      </c>
      <c r="C12" s="1" t="s">
        <v>30</v>
      </c>
      <c r="D12" s="1" t="s">
        <v>30</v>
      </c>
      <c r="E12" s="1" t="s">
        <v>257</v>
      </c>
      <c r="F12" s="1" t="s">
        <v>33</v>
      </c>
      <c r="G12" s="1" t="n">
        <v>-21.8928341</v>
      </c>
      <c r="H12" s="1" t="n">
        <v>-49.0226082</v>
      </c>
      <c r="I12" s="1" t="n">
        <v>-22.3088056</v>
      </c>
      <c r="J12" s="1" t="n">
        <v>-49.0897729</v>
      </c>
      <c r="K12" s="1" t="n">
        <v>50.6</v>
      </c>
      <c r="L12" s="1" t="n">
        <v>40.5</v>
      </c>
      <c r="M12" s="1" t="s">
        <v>17</v>
      </c>
      <c r="N12" s="1" t="n">
        <v>0.14</v>
      </c>
    </row>
    <row r="13" customFormat="false" ht="13.8" hidden="false" customHeight="false" outlineLevel="0" collapsed="false">
      <c r="C13" s="1"/>
    </row>
    <row r="14" customFormat="false" ht="13.8" hidden="false" customHeight="false" outlineLevel="0" collapsed="false">
      <c r="A14" s="1" t="n">
        <v>0</v>
      </c>
      <c r="B14" s="1" t="n">
        <v>1</v>
      </c>
      <c r="C14" s="1" t="s">
        <v>30</v>
      </c>
      <c r="D14" s="1" t="s">
        <v>30</v>
      </c>
      <c r="E14" s="1" t="s">
        <v>400</v>
      </c>
      <c r="F14" s="1" t="s">
        <v>32</v>
      </c>
      <c r="G14" s="1" t="n">
        <v>-23.4346441</v>
      </c>
      <c r="H14" s="1" t="n">
        <v>-46.5157181</v>
      </c>
      <c r="I14" s="1" t="n">
        <v>-22.3088056</v>
      </c>
      <c r="J14" s="1" t="n">
        <v>-49.0897729</v>
      </c>
      <c r="K14" s="1" t="n">
        <v>36.2</v>
      </c>
      <c r="L14" s="1" t="n">
        <v>37</v>
      </c>
      <c r="M14" s="1" t="s">
        <v>38</v>
      </c>
      <c r="N14" s="1" t="n">
        <v>0</v>
      </c>
    </row>
    <row r="15" customFormat="false" ht="13.8" hidden="false" customHeight="false" outlineLevel="0" collapsed="false">
      <c r="A15" s="1" t="n">
        <v>0</v>
      </c>
      <c r="B15" s="1" t="n">
        <v>1</v>
      </c>
      <c r="C15" s="1" t="s">
        <v>30</v>
      </c>
      <c r="D15" s="1" t="s">
        <v>30</v>
      </c>
      <c r="E15" s="1" t="s">
        <v>400</v>
      </c>
      <c r="F15" s="1" t="s">
        <v>33</v>
      </c>
      <c r="G15" s="1" t="n">
        <v>-23.4346441</v>
      </c>
      <c r="H15" s="1" t="n">
        <v>-46.5157181</v>
      </c>
      <c r="I15" s="1" t="n">
        <v>-22.3088056</v>
      </c>
      <c r="J15" s="1" t="n">
        <v>-49.0897729</v>
      </c>
      <c r="K15" s="1" t="n">
        <v>34</v>
      </c>
      <c r="L15" s="1" t="n">
        <v>35</v>
      </c>
      <c r="M15" s="1" t="s">
        <v>38</v>
      </c>
      <c r="N15" s="1" t="n">
        <v>0</v>
      </c>
    </row>
    <row r="16" customFormat="false" ht="13.8" hidden="false" customHeight="false" outlineLevel="0" collapsed="false">
      <c r="C16" s="1"/>
    </row>
    <row r="17" customFormat="false" ht="13.8" hidden="false" customHeight="false" outlineLevel="0" collapsed="false">
      <c r="A17" s="1" t="n">
        <v>0</v>
      </c>
      <c r="B17" s="1" t="n">
        <v>1</v>
      </c>
      <c r="C17" s="1" t="s">
        <v>30</v>
      </c>
      <c r="D17" s="1" t="s">
        <v>30</v>
      </c>
      <c r="E17" s="1" t="s">
        <v>419</v>
      </c>
      <c r="F17" s="1" t="s">
        <v>32</v>
      </c>
      <c r="G17" s="1" t="n">
        <v>-22.4136363</v>
      </c>
      <c r="H17" s="1" t="n">
        <v>-49.1351479</v>
      </c>
      <c r="I17" s="1" t="n">
        <v>-22.3088056</v>
      </c>
      <c r="J17" s="1" t="n">
        <v>-49.0897729</v>
      </c>
      <c r="K17" s="1" t="n">
        <v>15.2</v>
      </c>
      <c r="L17" s="1" t="n">
        <v>21.2</v>
      </c>
      <c r="M17" s="1" t="s">
        <v>17</v>
      </c>
      <c r="N17" s="1" t="n">
        <v>0</v>
      </c>
    </row>
    <row r="18" customFormat="false" ht="13.8" hidden="false" customHeight="false" outlineLevel="0" collapsed="false">
      <c r="A18" s="1" t="n">
        <v>0</v>
      </c>
      <c r="B18" s="1" t="n">
        <v>1</v>
      </c>
      <c r="C18" s="1" t="s">
        <v>30</v>
      </c>
      <c r="D18" s="1" t="s">
        <v>30</v>
      </c>
      <c r="E18" s="1" t="s">
        <v>419</v>
      </c>
      <c r="F18" s="1" t="s">
        <v>33</v>
      </c>
      <c r="G18" s="1" t="n">
        <v>-22.4136363</v>
      </c>
      <c r="H18" s="1" t="n">
        <v>-49.1351479</v>
      </c>
      <c r="I18" s="1" t="n">
        <v>-22.3305675</v>
      </c>
      <c r="J18" s="1" t="n">
        <v>-49.0775289</v>
      </c>
      <c r="K18" s="1" t="n">
        <v>12.4</v>
      </c>
      <c r="L18" s="1" t="n">
        <v>15.7</v>
      </c>
      <c r="M18" s="1" t="s">
        <v>17</v>
      </c>
      <c r="N18" s="1" t="n">
        <v>0</v>
      </c>
    </row>
    <row r="22" customFormat="false" ht="13.8" hidden="false" customHeight="false" outlineLevel="0" collapsed="false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1" t="s">
        <v>582</v>
      </c>
    </row>
    <row r="23" customFormat="false" ht="13.8" hidden="false" customHeight="false" outlineLevel="0" collapsed="false">
      <c r="A23" s="1" t="n">
        <v>0</v>
      </c>
      <c r="B23" s="1" t="n">
        <v>1</v>
      </c>
      <c r="C23" s="1" t="s">
        <v>82</v>
      </c>
      <c r="D23" s="1" t="s">
        <v>143</v>
      </c>
      <c r="E23" s="1" t="s">
        <v>144</v>
      </c>
      <c r="F23" s="1" t="s">
        <v>145</v>
      </c>
      <c r="G23" s="1" t="n">
        <v>-23.3076663</v>
      </c>
      <c r="H23" s="1" t="n">
        <v>-47.1324726</v>
      </c>
      <c r="I23" s="1" t="n">
        <v>-23.1838628</v>
      </c>
      <c r="J23" s="1" t="n">
        <v>-46.8899187</v>
      </c>
      <c r="K23" s="1" t="n">
        <v>36</v>
      </c>
      <c r="L23" s="1" t="n">
        <v>33.3</v>
      </c>
      <c r="M23" s="1" t="s">
        <v>17</v>
      </c>
      <c r="N23" s="1" t="n">
        <v>0</v>
      </c>
    </row>
    <row r="24" customFormat="false" ht="13.8" hidden="false" customHeight="false" outlineLevel="0" collapsed="false">
      <c r="A24" s="1" t="n">
        <v>0</v>
      </c>
      <c r="B24" s="1" t="n">
        <v>1</v>
      </c>
      <c r="C24" s="1" t="s">
        <v>82</v>
      </c>
      <c r="D24" s="1" t="s">
        <v>143</v>
      </c>
      <c r="E24" s="1" t="s">
        <v>144</v>
      </c>
      <c r="F24" s="1" t="s">
        <v>146</v>
      </c>
      <c r="G24" s="1" t="n">
        <v>-23.3076663</v>
      </c>
      <c r="H24" s="1" t="n">
        <v>-47.1324726</v>
      </c>
      <c r="I24" s="1" t="n">
        <v>-23.205120222563</v>
      </c>
      <c r="J24" s="1" t="n">
        <v>-46.8921294032143</v>
      </c>
      <c r="K24" s="1" t="n">
        <v>36.2</v>
      </c>
      <c r="L24" s="1" t="n">
        <v>32.9</v>
      </c>
      <c r="M24" s="1" t="s">
        <v>17</v>
      </c>
      <c r="N24" s="1" t="n">
        <v>0</v>
      </c>
    </row>
    <row r="25" customFormat="false" ht="13.8" hidden="false" customHeight="false" outlineLevel="0" collapsed="false">
      <c r="C25" s="1"/>
    </row>
    <row r="26" customFormat="false" ht="13.8" hidden="false" customHeight="false" outlineLevel="0" collapsed="false">
      <c r="A26" s="1" t="n">
        <v>0</v>
      </c>
      <c r="B26" s="1" t="n">
        <v>1</v>
      </c>
      <c r="C26" s="1" t="s">
        <v>82</v>
      </c>
      <c r="D26" s="1" t="s">
        <v>143</v>
      </c>
      <c r="E26" s="1" t="s">
        <v>158</v>
      </c>
      <c r="F26" s="1" t="s">
        <v>146</v>
      </c>
      <c r="G26" s="1" t="n">
        <v>-23.207791</v>
      </c>
      <c r="H26" s="1" t="n">
        <v>-46.788919</v>
      </c>
      <c r="I26" s="1" t="n">
        <v>-23.205120222563</v>
      </c>
      <c r="J26" s="1" t="n">
        <v>-46.8921294032143</v>
      </c>
      <c r="K26" s="1" t="n">
        <v>13.7</v>
      </c>
      <c r="L26" s="1" t="n">
        <v>19.9</v>
      </c>
      <c r="M26" s="1" t="s">
        <v>17</v>
      </c>
      <c r="N26" s="1" t="n">
        <v>0</v>
      </c>
    </row>
    <row r="27" customFormat="false" ht="13.8" hidden="false" customHeight="false" outlineLevel="0" collapsed="false">
      <c r="A27" s="1" t="n">
        <v>0</v>
      </c>
      <c r="B27" s="1" t="n">
        <v>1</v>
      </c>
      <c r="C27" s="1" t="s">
        <v>82</v>
      </c>
      <c r="D27" s="1" t="s">
        <v>143</v>
      </c>
      <c r="E27" s="1" t="s">
        <v>158</v>
      </c>
      <c r="F27" s="1" t="s">
        <v>145</v>
      </c>
      <c r="G27" s="1" t="n">
        <v>-23.207791</v>
      </c>
      <c r="H27" s="1" t="n">
        <v>-46.788919</v>
      </c>
      <c r="I27" s="1" t="n">
        <v>-23.1838628</v>
      </c>
      <c r="J27" s="1" t="n">
        <v>-46.8899187</v>
      </c>
      <c r="K27" s="1" t="n">
        <v>14.2</v>
      </c>
      <c r="L27" s="1" t="n">
        <v>18.6</v>
      </c>
      <c r="M27" s="1" t="s">
        <v>17</v>
      </c>
      <c r="N27" s="1" t="n">
        <v>0</v>
      </c>
    </row>
    <row r="28" customFormat="false" ht="13.8" hidden="false" customHeight="false" outlineLevel="0" collapsed="false">
      <c r="C28" s="1"/>
    </row>
    <row r="29" customFormat="false" ht="13.8" hidden="false" customHeight="false" outlineLevel="0" collapsed="false">
      <c r="A29" s="1" t="n">
        <v>0</v>
      </c>
      <c r="B29" s="1" t="n">
        <v>1</v>
      </c>
      <c r="C29" s="1" t="s">
        <v>82</v>
      </c>
      <c r="D29" s="1" t="s">
        <v>143</v>
      </c>
      <c r="E29" s="1" t="s">
        <v>294</v>
      </c>
      <c r="F29" s="1" t="s">
        <v>145</v>
      </c>
      <c r="G29" s="1" t="n">
        <v>-23.1531055</v>
      </c>
      <c r="H29" s="1" t="n">
        <v>-47.0580347</v>
      </c>
      <c r="I29" s="1" t="n">
        <v>-23.1838628</v>
      </c>
      <c r="J29" s="1" t="n">
        <v>-46.8899187</v>
      </c>
      <c r="K29" s="1" t="n">
        <v>22.1</v>
      </c>
      <c r="L29" s="1" t="n">
        <v>24.3</v>
      </c>
      <c r="M29" s="1" t="s">
        <v>17</v>
      </c>
      <c r="N29" s="1" t="n">
        <v>0</v>
      </c>
    </row>
    <row r="30" customFormat="false" ht="13.8" hidden="false" customHeight="false" outlineLevel="0" collapsed="false">
      <c r="A30" s="1" t="n">
        <v>0</v>
      </c>
      <c r="B30" s="1" t="n">
        <v>1</v>
      </c>
      <c r="C30" s="1" t="s">
        <v>82</v>
      </c>
      <c r="D30" s="1" t="s">
        <v>143</v>
      </c>
      <c r="E30" s="1" t="s">
        <v>294</v>
      </c>
      <c r="F30" s="1" t="s">
        <v>146</v>
      </c>
      <c r="G30" s="1" t="n">
        <v>-23.1531055</v>
      </c>
      <c r="H30" s="1" t="n">
        <v>-47.0580347</v>
      </c>
      <c r="I30" s="1" t="n">
        <v>-23.205120222563</v>
      </c>
      <c r="J30" s="1" t="n">
        <v>-46.8921294032143</v>
      </c>
      <c r="K30" s="1" t="n">
        <v>22.4</v>
      </c>
      <c r="L30" s="1" t="n">
        <v>24</v>
      </c>
      <c r="M30" s="1" t="s">
        <v>17</v>
      </c>
      <c r="N30" s="1" t="n">
        <v>0</v>
      </c>
    </row>
    <row r="31" customFormat="false" ht="13.8" hidden="false" customHeight="false" outlineLevel="0" collapsed="false">
      <c r="C31" s="1"/>
    </row>
    <row r="32" customFormat="false" ht="13.8" hidden="false" customHeight="false" outlineLevel="0" collapsed="false">
      <c r="A32" s="1" t="n">
        <v>0</v>
      </c>
      <c r="B32" s="1" t="n">
        <v>1</v>
      </c>
      <c r="C32" s="1" t="s">
        <v>82</v>
      </c>
      <c r="D32" s="1" t="s">
        <v>143</v>
      </c>
      <c r="E32" s="1" t="s">
        <v>302</v>
      </c>
      <c r="F32" s="1" t="s">
        <v>146</v>
      </c>
      <c r="G32" s="1" t="n">
        <v>-23.0949649</v>
      </c>
      <c r="H32" s="1" t="n">
        <v>-46.7148565</v>
      </c>
      <c r="I32" s="1" t="n">
        <v>-23.205120222563</v>
      </c>
      <c r="J32" s="1" t="n">
        <v>-46.8921294032143</v>
      </c>
      <c r="K32" s="1" t="n">
        <v>28.8</v>
      </c>
      <c r="L32" s="1" t="n">
        <v>34.5</v>
      </c>
      <c r="M32" s="1" t="s">
        <v>17</v>
      </c>
      <c r="N32" s="1" t="n">
        <v>0</v>
      </c>
    </row>
    <row r="33" customFormat="false" ht="13.8" hidden="false" customHeight="false" outlineLevel="0" collapsed="false">
      <c r="A33" s="1" t="n">
        <v>0</v>
      </c>
      <c r="B33" s="1" t="n">
        <v>1</v>
      </c>
      <c r="C33" s="1" t="s">
        <v>82</v>
      </c>
      <c r="D33" s="1" t="s">
        <v>143</v>
      </c>
      <c r="E33" s="1" t="s">
        <v>302</v>
      </c>
      <c r="F33" s="1" t="s">
        <v>145</v>
      </c>
      <c r="G33" s="1" t="n">
        <v>-23.0949649</v>
      </c>
      <c r="H33" s="1" t="n">
        <v>-46.7148565</v>
      </c>
      <c r="I33" s="1" t="n">
        <v>-23.1838628</v>
      </c>
      <c r="J33" s="1" t="n">
        <v>-46.8899187</v>
      </c>
      <c r="K33" s="1" t="n">
        <v>29.3</v>
      </c>
      <c r="L33" s="1" t="n">
        <v>33.2</v>
      </c>
      <c r="M33" s="1" t="s">
        <v>17</v>
      </c>
      <c r="N33" s="1" t="n">
        <v>0</v>
      </c>
    </row>
    <row r="34" customFormat="false" ht="13.8" hidden="false" customHeight="false" outlineLevel="0" collapsed="false">
      <c r="C34" s="1"/>
    </row>
    <row r="35" customFormat="false" ht="13.8" hidden="false" customHeight="false" outlineLevel="0" collapsed="false">
      <c r="A35" s="1" t="n">
        <v>0</v>
      </c>
      <c r="B35" s="1" t="n">
        <v>1</v>
      </c>
      <c r="C35" s="1" t="s">
        <v>82</v>
      </c>
      <c r="D35" s="1" t="s">
        <v>143</v>
      </c>
      <c r="E35" s="1" t="s">
        <v>317</v>
      </c>
      <c r="F35" s="1" t="s">
        <v>146</v>
      </c>
      <c r="G35" s="1" t="n">
        <v>-23.08639</v>
      </c>
      <c r="H35" s="1" t="n">
        <v>-46.95056</v>
      </c>
      <c r="I35" s="1" t="n">
        <v>-23.205120222563</v>
      </c>
      <c r="J35" s="1" t="n">
        <v>-46.8921294032143</v>
      </c>
      <c r="K35" s="1" t="n">
        <v>19</v>
      </c>
      <c r="L35" s="1" t="n">
        <v>16.7</v>
      </c>
      <c r="M35" s="1" t="s">
        <v>17</v>
      </c>
      <c r="N35" s="1" t="n">
        <v>0.5</v>
      </c>
    </row>
    <row r="36" customFormat="false" ht="13.8" hidden="false" customHeight="false" outlineLevel="0" collapsed="false">
      <c r="A36" s="1" t="n">
        <v>0</v>
      </c>
      <c r="B36" s="1" t="n">
        <v>1</v>
      </c>
      <c r="C36" s="1" t="s">
        <v>82</v>
      </c>
      <c r="D36" s="1" t="s">
        <v>143</v>
      </c>
      <c r="E36" s="1" t="s">
        <v>317</v>
      </c>
      <c r="F36" s="1" t="s">
        <v>145</v>
      </c>
      <c r="G36" s="1" t="n">
        <v>-23.08639</v>
      </c>
      <c r="H36" s="1" t="n">
        <v>-46.95056</v>
      </c>
      <c r="I36" s="1" t="n">
        <v>-23.1838628</v>
      </c>
      <c r="J36" s="1" t="n">
        <v>-46.8899187</v>
      </c>
      <c r="K36" s="1" t="n">
        <v>14.1</v>
      </c>
      <c r="L36" s="1" t="n">
        <v>16.3</v>
      </c>
      <c r="M36" s="1" t="s">
        <v>17</v>
      </c>
      <c r="N36" s="1" t="n">
        <v>0.5</v>
      </c>
    </row>
    <row r="37" customFormat="false" ht="13.8" hidden="false" customHeight="false" outlineLevel="0" collapsed="false">
      <c r="C37" s="1"/>
    </row>
    <row r="38" customFormat="false" ht="13.8" hidden="false" customHeight="false" outlineLevel="0" collapsed="false">
      <c r="A38" s="1" t="n">
        <v>0</v>
      </c>
      <c r="B38" s="1" t="n">
        <v>1</v>
      </c>
      <c r="C38" s="1" t="s">
        <v>82</v>
      </c>
      <c r="D38" s="1" t="s">
        <v>143</v>
      </c>
      <c r="E38" s="1" t="s">
        <v>574</v>
      </c>
      <c r="F38" s="1" t="s">
        <v>146</v>
      </c>
      <c r="G38" s="1" t="n">
        <v>-23.2113889</v>
      </c>
      <c r="H38" s="1" t="n">
        <v>-46.8283333</v>
      </c>
      <c r="I38" s="1" t="n">
        <v>-23.205120222563</v>
      </c>
      <c r="J38" s="1" t="n">
        <v>-46.8921294032143</v>
      </c>
      <c r="K38" s="1" t="n">
        <v>8.4</v>
      </c>
      <c r="L38" s="1" t="n">
        <v>14</v>
      </c>
      <c r="M38" s="1" t="s">
        <v>17</v>
      </c>
      <c r="N38" s="1" t="n">
        <v>0.2</v>
      </c>
    </row>
    <row r="39" customFormat="false" ht="13.8" hidden="false" customHeight="false" outlineLevel="0" collapsed="false">
      <c r="A39" s="1" t="n">
        <v>0</v>
      </c>
      <c r="B39" s="1" t="n">
        <v>1</v>
      </c>
      <c r="C39" s="1" t="s">
        <v>82</v>
      </c>
      <c r="D39" s="1" t="s">
        <v>143</v>
      </c>
      <c r="E39" s="1" t="s">
        <v>574</v>
      </c>
      <c r="F39" s="1" t="s">
        <v>145</v>
      </c>
      <c r="G39" s="1" t="n">
        <v>-23.2113889</v>
      </c>
      <c r="H39" s="1" t="n">
        <v>-46.8283333</v>
      </c>
      <c r="I39" s="1" t="n">
        <v>-23.1838628</v>
      </c>
      <c r="J39" s="1" t="n">
        <v>-46.8899187</v>
      </c>
      <c r="K39" s="1" t="n">
        <v>8.9</v>
      </c>
      <c r="L39" s="1" t="n">
        <v>12.7</v>
      </c>
      <c r="M39" s="1" t="s">
        <v>17</v>
      </c>
      <c r="N39" s="1" t="n">
        <v>0</v>
      </c>
    </row>
    <row r="43" customFormat="false" ht="13.8" hidden="false" customHeight="false" outlineLevel="0" collapsed="false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1" t="s">
        <v>582</v>
      </c>
    </row>
    <row r="44" customFormat="false" ht="13.8" hidden="false" customHeight="false" outlineLevel="0" collapsed="false">
      <c r="A44" s="1" t="n">
        <v>0</v>
      </c>
      <c r="B44" s="1" t="n">
        <v>1</v>
      </c>
      <c r="C44" s="1" t="s">
        <v>49</v>
      </c>
      <c r="D44" s="1" t="s">
        <v>49</v>
      </c>
      <c r="E44" s="1" t="s">
        <v>50</v>
      </c>
      <c r="F44" s="1" t="s">
        <v>51</v>
      </c>
      <c r="G44" s="1" t="n">
        <v>-22.0787992</v>
      </c>
      <c r="H44" s="1" t="n">
        <v>-49.7194861</v>
      </c>
      <c r="I44" s="1" t="n">
        <v>-22.227114</v>
      </c>
      <c r="J44" s="1" t="n">
        <v>-49.9359818</v>
      </c>
      <c r="K44" s="1" t="n">
        <v>49.7</v>
      </c>
      <c r="L44" s="1" t="n">
        <v>45.9</v>
      </c>
      <c r="M44" s="1" t="s">
        <v>17</v>
      </c>
      <c r="N44" s="1" t="n">
        <v>0</v>
      </c>
    </row>
    <row r="45" customFormat="false" ht="13.8" hidden="false" customHeight="false" outlineLevel="0" collapsed="false">
      <c r="A45" s="1" t="n">
        <v>0</v>
      </c>
      <c r="B45" s="1" t="n">
        <v>1</v>
      </c>
      <c r="C45" s="1" t="s">
        <v>49</v>
      </c>
      <c r="D45" s="1" t="s">
        <v>49</v>
      </c>
      <c r="E45" s="1" t="s">
        <v>50</v>
      </c>
      <c r="F45" s="1" t="s">
        <v>52</v>
      </c>
      <c r="G45" s="1" t="n">
        <v>-22.0787992</v>
      </c>
      <c r="H45" s="1" t="n">
        <v>-49.7194861</v>
      </c>
      <c r="I45" s="1" t="n">
        <v>-22.224027</v>
      </c>
      <c r="J45" s="1" t="n">
        <v>-49.9472085</v>
      </c>
      <c r="K45" s="1" t="n">
        <v>45.5</v>
      </c>
      <c r="L45" s="1" t="n">
        <v>45.1</v>
      </c>
      <c r="M45" s="1" t="s">
        <v>17</v>
      </c>
      <c r="N45" s="1" t="n">
        <v>0</v>
      </c>
    </row>
    <row r="46" customFormat="false" ht="13.8" hidden="false" customHeight="false" outlineLevel="0" collapsed="false">
      <c r="C46" s="1"/>
    </row>
    <row r="47" customFormat="false" ht="13.8" hidden="false" customHeight="false" outlineLevel="0" collapsed="false">
      <c r="A47" s="1" t="n">
        <v>0</v>
      </c>
      <c r="B47" s="1" t="n">
        <v>1</v>
      </c>
      <c r="C47" s="1" t="s">
        <v>49</v>
      </c>
      <c r="D47" s="1" t="s">
        <v>49</v>
      </c>
      <c r="E47" s="1" t="s">
        <v>53</v>
      </c>
      <c r="F47" s="1" t="s">
        <v>51</v>
      </c>
      <c r="G47" s="1" t="n">
        <v>-22.4431852</v>
      </c>
      <c r="H47" s="1" t="n">
        <v>-49.7643596</v>
      </c>
      <c r="I47" s="1" t="n">
        <v>-22.227114</v>
      </c>
      <c r="J47" s="1" t="n">
        <v>-49.9359818</v>
      </c>
      <c r="K47" s="1" t="n">
        <v>43.3</v>
      </c>
      <c r="L47" s="1" t="n">
        <v>42.1</v>
      </c>
      <c r="M47" s="1" t="s">
        <v>17</v>
      </c>
      <c r="N47" s="1" t="n">
        <v>0</v>
      </c>
    </row>
    <row r="48" customFormat="false" ht="13.8" hidden="false" customHeight="false" outlineLevel="0" collapsed="false">
      <c r="A48" s="1" t="n">
        <v>0</v>
      </c>
      <c r="B48" s="1" t="n">
        <v>1</v>
      </c>
      <c r="C48" s="1" t="s">
        <v>49</v>
      </c>
      <c r="D48" s="1" t="s">
        <v>49</v>
      </c>
      <c r="E48" s="1" t="s">
        <v>53</v>
      </c>
      <c r="F48" s="1" t="s">
        <v>52</v>
      </c>
      <c r="G48" s="1" t="n">
        <v>-22.4431852</v>
      </c>
      <c r="H48" s="1" t="n">
        <v>-49.7643596</v>
      </c>
      <c r="I48" s="1" t="n">
        <v>-22.224027</v>
      </c>
      <c r="J48" s="1" t="n">
        <v>-49.9472085</v>
      </c>
      <c r="K48" s="1" t="n">
        <v>44.3</v>
      </c>
      <c r="L48" s="1" t="n">
        <v>41.7</v>
      </c>
      <c r="M48" s="1" t="s">
        <v>17</v>
      </c>
      <c r="N48" s="1" t="n">
        <v>0</v>
      </c>
    </row>
    <row r="49" customFormat="false" ht="13.8" hidden="false" customHeight="false" outlineLevel="0" collapsed="false">
      <c r="C49" s="1"/>
    </row>
    <row r="50" customFormat="false" ht="13.8" hidden="false" customHeight="false" outlineLevel="0" collapsed="false">
      <c r="A50" s="1" t="n">
        <v>0</v>
      </c>
      <c r="B50" s="1" t="n">
        <v>1</v>
      </c>
      <c r="C50" s="1" t="s">
        <v>49</v>
      </c>
      <c r="D50" s="1" t="s">
        <v>49</v>
      </c>
      <c r="E50" s="1" t="s">
        <v>159</v>
      </c>
      <c r="F50" s="1" t="s">
        <v>51</v>
      </c>
      <c r="G50" s="1" t="n">
        <v>-22.601952</v>
      </c>
      <c r="H50" s="1" t="n">
        <v>-49.998726</v>
      </c>
      <c r="I50" s="1" t="n">
        <v>-22.227114</v>
      </c>
      <c r="J50" s="1" t="n">
        <v>-49.9359818</v>
      </c>
      <c r="K50" s="1" t="n">
        <v>61.8</v>
      </c>
      <c r="L50" s="1" t="n">
        <v>53.9</v>
      </c>
      <c r="M50" s="1" t="s">
        <v>17</v>
      </c>
      <c r="N50" s="1" t="n">
        <v>0</v>
      </c>
    </row>
    <row r="51" customFormat="false" ht="13.8" hidden="false" customHeight="false" outlineLevel="0" collapsed="false">
      <c r="A51" s="1" t="n">
        <v>0</v>
      </c>
      <c r="B51" s="1" t="n">
        <v>1</v>
      </c>
      <c r="C51" s="1" t="s">
        <v>49</v>
      </c>
      <c r="D51" s="1" t="s">
        <v>49</v>
      </c>
      <c r="E51" s="1" t="s">
        <v>159</v>
      </c>
      <c r="F51" s="1" t="s">
        <v>52</v>
      </c>
      <c r="G51" s="1" t="n">
        <v>-22.601952</v>
      </c>
      <c r="H51" s="1" t="n">
        <v>-49.998726</v>
      </c>
      <c r="I51" s="1" t="n">
        <v>-22.224027</v>
      </c>
      <c r="J51" s="1" t="n">
        <v>-49.9472085</v>
      </c>
      <c r="K51" s="1" t="n">
        <v>62.7</v>
      </c>
      <c r="L51" s="1" t="n">
        <v>53.5</v>
      </c>
      <c r="M51" s="1" t="s">
        <v>17</v>
      </c>
      <c r="N51" s="1" t="n">
        <v>0</v>
      </c>
    </row>
    <row r="52" customFormat="false" ht="13.8" hidden="false" customHeight="false" outlineLevel="0" collapsed="false">
      <c r="C52" s="1"/>
    </row>
    <row r="53" customFormat="false" ht="13.8" hidden="false" customHeight="false" outlineLevel="0" collapsed="false">
      <c r="A53" s="1" t="n">
        <v>0</v>
      </c>
      <c r="B53" s="1" t="n">
        <v>1</v>
      </c>
      <c r="C53" s="1" t="s">
        <v>49</v>
      </c>
      <c r="D53" s="1" t="s">
        <v>49</v>
      </c>
      <c r="E53" s="1" t="s">
        <v>208</v>
      </c>
      <c r="F53" s="1" t="s">
        <v>51</v>
      </c>
      <c r="G53" s="1" t="n">
        <v>-22.4325855</v>
      </c>
      <c r="H53" s="1" t="n">
        <v>-50.2037693</v>
      </c>
      <c r="I53" s="1" t="n">
        <v>-22.227114</v>
      </c>
      <c r="J53" s="1" t="n">
        <v>-49.9359818</v>
      </c>
      <c r="K53" s="1" t="n">
        <v>41.9</v>
      </c>
      <c r="L53" s="1" t="n">
        <v>38.9</v>
      </c>
      <c r="M53" s="1" t="s">
        <v>17</v>
      </c>
      <c r="N53" s="1" t="n">
        <v>0</v>
      </c>
    </row>
    <row r="54" customFormat="false" ht="13.8" hidden="false" customHeight="false" outlineLevel="0" collapsed="false">
      <c r="A54" s="1" t="n">
        <v>0</v>
      </c>
      <c r="B54" s="1" t="n">
        <v>1</v>
      </c>
      <c r="C54" s="1" t="s">
        <v>49</v>
      </c>
      <c r="D54" s="1" t="s">
        <v>49</v>
      </c>
      <c r="E54" s="1" t="s">
        <v>208</v>
      </c>
      <c r="F54" s="1" t="s">
        <v>52</v>
      </c>
      <c r="G54" s="1" t="n">
        <v>-22.4325855</v>
      </c>
      <c r="H54" s="1" t="n">
        <v>-50.2037693</v>
      </c>
      <c r="I54" s="1" t="n">
        <v>-22.224027</v>
      </c>
      <c r="J54" s="1" t="n">
        <v>-49.9472085</v>
      </c>
      <c r="K54" s="1" t="n">
        <v>41.1</v>
      </c>
      <c r="L54" s="1" t="n">
        <v>38.5</v>
      </c>
      <c r="M54" s="1" t="s">
        <v>17</v>
      </c>
      <c r="N54" s="1" t="n">
        <v>0</v>
      </c>
    </row>
    <row r="55" customFormat="false" ht="13.8" hidden="false" customHeight="false" outlineLevel="0" collapsed="false">
      <c r="C55" s="1"/>
    </row>
    <row r="56" customFormat="false" ht="13.8" hidden="false" customHeight="false" outlineLevel="0" collapsed="false">
      <c r="A56" s="1" t="n">
        <v>0</v>
      </c>
      <c r="B56" s="1" t="n">
        <v>1</v>
      </c>
      <c r="C56" s="1" t="s">
        <v>49</v>
      </c>
      <c r="D56" s="1" t="s">
        <v>49</v>
      </c>
      <c r="E56" s="1" t="s">
        <v>224</v>
      </c>
      <c r="F56" s="1" t="s">
        <v>52</v>
      </c>
      <c r="G56" s="1" t="n">
        <v>-22.3595388</v>
      </c>
      <c r="H56" s="1" t="n">
        <v>-49.5209504</v>
      </c>
      <c r="I56" s="1" t="n">
        <v>-22.224027</v>
      </c>
      <c r="J56" s="1" t="n">
        <v>-49.9472085</v>
      </c>
      <c r="K56" s="1" t="n">
        <v>60.3</v>
      </c>
      <c r="L56" s="1" t="n">
        <v>55</v>
      </c>
      <c r="M56" s="1" t="s">
        <v>17</v>
      </c>
      <c r="N56" s="1" t="n">
        <v>0</v>
      </c>
    </row>
    <row r="57" customFormat="false" ht="13.8" hidden="false" customHeight="false" outlineLevel="0" collapsed="false">
      <c r="A57" s="1" t="n">
        <v>0</v>
      </c>
      <c r="B57" s="1" t="n">
        <v>1</v>
      </c>
      <c r="C57" s="1" t="s">
        <v>49</v>
      </c>
      <c r="D57" s="1" t="s">
        <v>49</v>
      </c>
      <c r="E57" s="1" t="s">
        <v>224</v>
      </c>
      <c r="F57" s="1" t="s">
        <v>51</v>
      </c>
      <c r="G57" s="1" t="n">
        <v>-22.3595388</v>
      </c>
      <c r="H57" s="1" t="n">
        <v>-49.5209504</v>
      </c>
      <c r="I57" s="1" t="n">
        <v>-22.227114</v>
      </c>
      <c r="J57" s="1" t="n">
        <v>-49.9359818</v>
      </c>
      <c r="K57" s="1" t="n">
        <v>58.4</v>
      </c>
      <c r="L57" s="1" t="n">
        <v>53.4</v>
      </c>
      <c r="M57" s="1" t="s">
        <v>17</v>
      </c>
      <c r="N57" s="1" t="n">
        <v>0</v>
      </c>
    </row>
    <row r="58" customFormat="false" ht="13.8" hidden="false" customHeight="false" outlineLevel="0" collapsed="false">
      <c r="C58" s="1"/>
    </row>
    <row r="59" customFormat="false" ht="13.8" hidden="false" customHeight="false" outlineLevel="0" collapsed="false">
      <c r="A59" s="1" t="n">
        <v>0</v>
      </c>
      <c r="B59" s="1" t="n">
        <v>1</v>
      </c>
      <c r="C59" s="1" t="s">
        <v>49</v>
      </c>
      <c r="D59" s="1" t="s">
        <v>49</v>
      </c>
      <c r="E59" s="1" t="s">
        <v>232</v>
      </c>
      <c r="F59" s="1" t="s">
        <v>52</v>
      </c>
      <c r="G59" s="1" t="n">
        <v>-22.2936976</v>
      </c>
      <c r="H59" s="1" t="n">
        <v>-49.5516228</v>
      </c>
      <c r="I59" s="1" t="n">
        <v>-22.224027</v>
      </c>
      <c r="J59" s="1" t="n">
        <v>-49.9472085</v>
      </c>
      <c r="K59" s="1" t="n">
        <v>52.2</v>
      </c>
      <c r="L59" s="1" t="n">
        <v>42.8</v>
      </c>
      <c r="M59" s="1" t="s">
        <v>17</v>
      </c>
      <c r="N59" s="1" t="n">
        <v>0</v>
      </c>
    </row>
    <row r="60" customFormat="false" ht="13.8" hidden="false" customHeight="false" outlineLevel="0" collapsed="false">
      <c r="A60" s="1" t="n">
        <v>0</v>
      </c>
      <c r="B60" s="1" t="n">
        <v>1</v>
      </c>
      <c r="C60" s="1" t="s">
        <v>49</v>
      </c>
      <c r="D60" s="1" t="s">
        <v>49</v>
      </c>
      <c r="E60" s="1" t="s">
        <v>232</v>
      </c>
      <c r="F60" s="1" t="s">
        <v>51</v>
      </c>
      <c r="G60" s="1" t="n">
        <v>-22.2936976</v>
      </c>
      <c r="H60" s="1" t="n">
        <v>-49.5516228</v>
      </c>
      <c r="I60" s="1" t="n">
        <v>-22.227114</v>
      </c>
      <c r="J60" s="1" t="n">
        <v>-49.9359818</v>
      </c>
      <c r="K60" s="1" t="n">
        <v>50.3</v>
      </c>
      <c r="L60" s="1" t="n">
        <v>41.3</v>
      </c>
      <c r="M60" s="1" t="s">
        <v>17</v>
      </c>
      <c r="N60" s="1" t="n">
        <v>0</v>
      </c>
    </row>
    <row r="61" customFormat="false" ht="13.8" hidden="false" customHeight="false" outlineLevel="0" collapsed="false">
      <c r="C61" s="1"/>
    </row>
    <row r="62" customFormat="false" ht="13.8" hidden="false" customHeight="false" outlineLevel="0" collapsed="false">
      <c r="A62" s="1" t="n">
        <v>0</v>
      </c>
      <c r="B62" s="1" t="n">
        <v>1</v>
      </c>
      <c r="C62" s="1" t="s">
        <v>49</v>
      </c>
      <c r="D62" s="1" t="s">
        <v>49</v>
      </c>
      <c r="E62" s="1" t="s">
        <v>233</v>
      </c>
      <c r="F62" s="1" t="s">
        <v>52</v>
      </c>
      <c r="G62" s="1" t="n">
        <v>-22.2125766</v>
      </c>
      <c r="H62" s="1" t="n">
        <v>-49.6547994</v>
      </c>
      <c r="I62" s="1" t="n">
        <v>-22.224027</v>
      </c>
      <c r="J62" s="1" t="n">
        <v>-49.9472085</v>
      </c>
      <c r="K62" s="1" t="n">
        <v>33.4</v>
      </c>
      <c r="L62" s="1" t="n">
        <v>29.6</v>
      </c>
      <c r="M62" s="1" t="s">
        <v>17</v>
      </c>
      <c r="N62" s="1" t="n">
        <v>0</v>
      </c>
    </row>
    <row r="63" customFormat="false" ht="13.8" hidden="false" customHeight="false" outlineLevel="0" collapsed="false">
      <c r="A63" s="1" t="n">
        <v>0</v>
      </c>
      <c r="B63" s="1" t="n">
        <v>1</v>
      </c>
      <c r="C63" s="1" t="s">
        <v>49</v>
      </c>
      <c r="D63" s="1" t="s">
        <v>49</v>
      </c>
      <c r="E63" s="1" t="s">
        <v>233</v>
      </c>
      <c r="F63" s="1" t="s">
        <v>51</v>
      </c>
      <c r="G63" s="1" t="n">
        <v>-22.2125766</v>
      </c>
      <c r="H63" s="1" t="n">
        <v>-49.6547994</v>
      </c>
      <c r="I63" s="1" t="n">
        <v>-22.227114</v>
      </c>
      <c r="J63" s="1" t="n">
        <v>-49.9359818</v>
      </c>
      <c r="K63" s="1" t="n">
        <v>31.5</v>
      </c>
      <c r="L63" s="1" t="n">
        <v>28</v>
      </c>
      <c r="M63" s="1" t="s">
        <v>17</v>
      </c>
      <c r="N63" s="1" t="n">
        <v>0</v>
      </c>
    </row>
    <row r="64" customFormat="false" ht="13.8" hidden="false" customHeight="false" outlineLevel="0" collapsed="false">
      <c r="C64" s="1"/>
    </row>
    <row r="65" customFormat="false" ht="13.8" hidden="false" customHeight="false" outlineLevel="0" collapsed="false">
      <c r="A65" s="1" t="n">
        <v>0</v>
      </c>
      <c r="B65" s="1" t="n">
        <v>1</v>
      </c>
      <c r="C65" s="1" t="s">
        <v>49</v>
      </c>
      <c r="D65" s="1" t="s">
        <v>49</v>
      </c>
      <c r="E65" s="1" t="s">
        <v>240</v>
      </c>
      <c r="F65" s="1" t="s">
        <v>51</v>
      </c>
      <c r="G65" s="1" t="n">
        <v>-21.909072</v>
      </c>
      <c r="H65" s="1" t="n">
        <v>-49.89861</v>
      </c>
      <c r="I65" s="1" t="n">
        <v>-22.227114</v>
      </c>
      <c r="J65" s="1" t="n">
        <v>-49.9359818</v>
      </c>
      <c r="K65" s="1" t="n">
        <v>43.8</v>
      </c>
      <c r="L65" s="1" t="n">
        <v>45.2</v>
      </c>
      <c r="M65" s="1" t="s">
        <v>17</v>
      </c>
      <c r="N65" s="1" t="n">
        <v>0.06</v>
      </c>
    </row>
    <row r="66" customFormat="false" ht="13.8" hidden="false" customHeight="false" outlineLevel="0" collapsed="false">
      <c r="A66" s="1" t="n">
        <v>0</v>
      </c>
      <c r="B66" s="1" t="n">
        <v>1</v>
      </c>
      <c r="C66" s="1" t="s">
        <v>49</v>
      </c>
      <c r="D66" s="1" t="s">
        <v>49</v>
      </c>
      <c r="E66" s="1" t="s">
        <v>240</v>
      </c>
      <c r="F66" s="1" t="s">
        <v>52</v>
      </c>
      <c r="G66" s="1" t="n">
        <v>-21.909072</v>
      </c>
      <c r="H66" s="1" t="n">
        <v>-49.89861</v>
      </c>
      <c r="I66" s="1" t="n">
        <v>-22.224027</v>
      </c>
      <c r="J66" s="1" t="n">
        <v>-49.9472085</v>
      </c>
      <c r="K66" s="1" t="n">
        <v>42.4</v>
      </c>
      <c r="L66" s="1" t="n">
        <v>42.8</v>
      </c>
      <c r="M66" s="1" t="s">
        <v>17</v>
      </c>
      <c r="N66" s="1" t="n">
        <v>0</v>
      </c>
    </row>
    <row r="67" customFormat="false" ht="13.8" hidden="false" customHeight="false" outlineLevel="0" collapsed="false">
      <c r="C67" s="1"/>
    </row>
    <row r="68" customFormat="false" ht="13.8" hidden="false" customHeight="false" outlineLevel="0" collapsed="false">
      <c r="A68" s="1" t="n">
        <v>0</v>
      </c>
      <c r="B68" s="1" t="n">
        <v>1</v>
      </c>
      <c r="C68" s="1" t="s">
        <v>49</v>
      </c>
      <c r="D68" s="1" t="s">
        <v>49</v>
      </c>
      <c r="E68" s="1" t="s">
        <v>244</v>
      </c>
      <c r="F68" s="1" t="s">
        <v>51</v>
      </c>
      <c r="G68" s="1" t="n">
        <v>-21.8950705</v>
      </c>
      <c r="H68" s="1" t="n">
        <v>-49.590107</v>
      </c>
      <c r="I68" s="1" t="n">
        <v>-22.227114</v>
      </c>
      <c r="J68" s="1" t="n">
        <v>-49.9359818</v>
      </c>
      <c r="K68" s="1" t="n">
        <v>63.4</v>
      </c>
      <c r="L68" s="1" t="n">
        <v>56.3</v>
      </c>
      <c r="M68" s="1" t="s">
        <v>17</v>
      </c>
      <c r="N68" s="1" t="n">
        <v>0.04</v>
      </c>
    </row>
    <row r="69" customFormat="false" ht="13.8" hidden="false" customHeight="false" outlineLevel="0" collapsed="false">
      <c r="A69" s="1" t="n">
        <v>0</v>
      </c>
      <c r="B69" s="1" t="n">
        <v>1</v>
      </c>
      <c r="C69" s="1" t="s">
        <v>49</v>
      </c>
      <c r="D69" s="1" t="s">
        <v>49</v>
      </c>
      <c r="E69" s="1" t="s">
        <v>244</v>
      </c>
      <c r="F69" s="1" t="s">
        <v>52</v>
      </c>
      <c r="G69" s="1" t="n">
        <v>-21.8950705</v>
      </c>
      <c r="H69" s="1" t="n">
        <v>-49.590107</v>
      </c>
      <c r="I69" s="1" t="n">
        <v>-22.224027</v>
      </c>
      <c r="J69" s="1" t="n">
        <v>-49.9472085</v>
      </c>
      <c r="K69" s="1" t="n">
        <v>62.1</v>
      </c>
      <c r="L69" s="1" t="n">
        <v>53.9</v>
      </c>
      <c r="M69" s="1" t="s">
        <v>17</v>
      </c>
      <c r="N69" s="1" t="n">
        <v>0</v>
      </c>
    </row>
    <row r="70" customFormat="false" ht="13.8" hidden="false" customHeight="false" outlineLevel="0" collapsed="false">
      <c r="C70" s="1"/>
    </row>
    <row r="71" customFormat="false" ht="13.8" hidden="false" customHeight="false" outlineLevel="0" collapsed="false">
      <c r="A71" s="1" t="n">
        <v>0</v>
      </c>
      <c r="B71" s="1" t="n">
        <v>1</v>
      </c>
      <c r="C71" s="1" t="s">
        <v>49</v>
      </c>
      <c r="D71" s="1" t="s">
        <v>49</v>
      </c>
      <c r="E71" s="1" t="s">
        <v>309</v>
      </c>
      <c r="F71" s="1" t="s">
        <v>51</v>
      </c>
      <c r="G71" s="1" t="n">
        <v>-22.0099839</v>
      </c>
      <c r="H71" s="1" t="n">
        <v>-49.7889446</v>
      </c>
      <c r="I71" s="1" t="n">
        <v>-22.227114</v>
      </c>
      <c r="J71" s="1" t="n">
        <v>-49.9359818</v>
      </c>
      <c r="K71" s="1" t="n">
        <v>37.7</v>
      </c>
      <c r="L71" s="1" t="n">
        <v>37.7</v>
      </c>
      <c r="M71" s="1" t="s">
        <v>17</v>
      </c>
      <c r="N71" s="1" t="n">
        <v>0</v>
      </c>
    </row>
    <row r="72" customFormat="false" ht="13.8" hidden="false" customHeight="false" outlineLevel="0" collapsed="false">
      <c r="A72" s="1" t="n">
        <v>0</v>
      </c>
      <c r="B72" s="1" t="n">
        <v>1</v>
      </c>
      <c r="C72" s="1" t="s">
        <v>49</v>
      </c>
      <c r="D72" s="1" t="s">
        <v>49</v>
      </c>
      <c r="E72" s="1" t="s">
        <v>309</v>
      </c>
      <c r="F72" s="1" t="s">
        <v>52</v>
      </c>
      <c r="G72" s="1" t="n">
        <v>-22.0099839</v>
      </c>
      <c r="H72" s="1" t="n">
        <v>-49.7889446</v>
      </c>
      <c r="I72" s="1" t="n">
        <v>-22.224027</v>
      </c>
      <c r="J72" s="1" t="n">
        <v>-49.9472085</v>
      </c>
      <c r="K72" s="1" t="n">
        <v>36.4</v>
      </c>
      <c r="L72" s="1" t="n">
        <v>35.3</v>
      </c>
      <c r="M72" s="1" t="s">
        <v>17</v>
      </c>
      <c r="N72" s="1" t="n">
        <v>0</v>
      </c>
    </row>
    <row r="73" customFormat="false" ht="13.8" hidden="false" customHeight="false" outlineLevel="0" collapsed="false">
      <c r="C73" s="1"/>
    </row>
    <row r="74" customFormat="false" ht="13.8" hidden="false" customHeight="false" outlineLevel="0" collapsed="false">
      <c r="A74" s="1" t="n">
        <v>0</v>
      </c>
      <c r="B74" s="1" t="n">
        <v>1</v>
      </c>
      <c r="C74" s="1" t="s">
        <v>49</v>
      </c>
      <c r="D74" s="1" t="s">
        <v>49</v>
      </c>
      <c r="E74" s="1" t="s">
        <v>322</v>
      </c>
      <c r="F74" s="1" t="s">
        <v>51</v>
      </c>
      <c r="G74" s="1" t="n">
        <v>-22.4145801</v>
      </c>
      <c r="H74" s="1" t="n">
        <v>-49.8183516</v>
      </c>
      <c r="I74" s="1" t="n">
        <v>-22.227114</v>
      </c>
      <c r="J74" s="1" t="n">
        <v>-49.9359818</v>
      </c>
      <c r="K74" s="1" t="n">
        <v>31.2</v>
      </c>
      <c r="L74" s="1" t="n">
        <v>29.3</v>
      </c>
      <c r="M74" s="1" t="s">
        <v>17</v>
      </c>
      <c r="N74" s="1" t="n">
        <v>0</v>
      </c>
    </row>
    <row r="75" customFormat="false" ht="13.8" hidden="false" customHeight="false" outlineLevel="0" collapsed="false">
      <c r="A75" s="1" t="n">
        <v>0</v>
      </c>
      <c r="B75" s="1" t="n">
        <v>1</v>
      </c>
      <c r="C75" s="1" t="s">
        <v>49</v>
      </c>
      <c r="D75" s="1" t="s">
        <v>49</v>
      </c>
      <c r="E75" s="1" t="s">
        <v>322</v>
      </c>
      <c r="F75" s="1" t="s">
        <v>52</v>
      </c>
      <c r="G75" s="1" t="n">
        <v>-22.4145801</v>
      </c>
      <c r="H75" s="1" t="n">
        <v>-49.8183516</v>
      </c>
      <c r="I75" s="1" t="n">
        <v>-22.224027</v>
      </c>
      <c r="J75" s="1" t="n">
        <v>-49.9472085</v>
      </c>
      <c r="K75" s="1" t="n">
        <v>32.2</v>
      </c>
      <c r="L75" s="1" t="n">
        <v>28.9</v>
      </c>
      <c r="M75" s="1" t="s">
        <v>17</v>
      </c>
      <c r="N75" s="1" t="n">
        <v>0</v>
      </c>
    </row>
    <row r="76" customFormat="false" ht="13.8" hidden="false" customHeight="false" outlineLevel="0" collapsed="false">
      <c r="C76" s="1"/>
    </row>
    <row r="77" customFormat="false" ht="13.8" hidden="false" customHeight="false" outlineLevel="0" collapsed="false">
      <c r="A77" s="1" t="n">
        <v>0</v>
      </c>
      <c r="B77" s="1" t="n">
        <v>1</v>
      </c>
      <c r="C77" s="1" t="s">
        <v>49</v>
      </c>
      <c r="D77" s="1" t="s">
        <v>49</v>
      </c>
      <c r="E77" s="1" t="s">
        <v>377</v>
      </c>
      <c r="F77" s="1" t="s">
        <v>51</v>
      </c>
      <c r="G77" s="1" t="n">
        <v>-22.4396255</v>
      </c>
      <c r="H77" s="1" t="n">
        <v>-49.9226712</v>
      </c>
      <c r="I77" s="1" t="n">
        <v>-22.227114</v>
      </c>
      <c r="J77" s="1" t="n">
        <v>-49.9359818</v>
      </c>
      <c r="K77" s="1" t="n">
        <v>35.5</v>
      </c>
      <c r="L77" s="1" t="n">
        <v>34.1</v>
      </c>
      <c r="M77" s="1" t="s">
        <v>17</v>
      </c>
      <c r="N77" s="1" t="n">
        <v>0</v>
      </c>
    </row>
    <row r="78" customFormat="false" ht="13.8" hidden="false" customHeight="false" outlineLevel="0" collapsed="false">
      <c r="A78" s="1" t="n">
        <v>0</v>
      </c>
      <c r="B78" s="1" t="n">
        <v>1</v>
      </c>
      <c r="C78" s="1" t="s">
        <v>49</v>
      </c>
      <c r="D78" s="1" t="s">
        <v>49</v>
      </c>
      <c r="E78" s="1" t="s">
        <v>377</v>
      </c>
      <c r="F78" s="1" t="s">
        <v>52</v>
      </c>
      <c r="G78" s="1" t="n">
        <v>-22.4396255</v>
      </c>
      <c r="H78" s="1" t="n">
        <v>-49.9226712</v>
      </c>
      <c r="I78" s="1" t="n">
        <v>-22.224027</v>
      </c>
      <c r="J78" s="1" t="n">
        <v>-49.9472085</v>
      </c>
      <c r="K78" s="1" t="n">
        <v>36.5</v>
      </c>
      <c r="L78" s="1" t="n">
        <v>33.7</v>
      </c>
      <c r="M78" s="1" t="s">
        <v>17</v>
      </c>
      <c r="N78" s="1" t="n">
        <v>0</v>
      </c>
    </row>
    <row r="79" customFormat="false" ht="13.8" hidden="false" customHeight="false" outlineLevel="0" collapsed="false">
      <c r="C79" s="1"/>
    </row>
    <row r="80" customFormat="false" ht="13.8" hidden="false" customHeight="false" outlineLevel="0" collapsed="false">
      <c r="A80" s="1" t="n">
        <v>0</v>
      </c>
      <c r="B80" s="1" t="n">
        <v>1</v>
      </c>
      <c r="C80" s="1" t="s">
        <v>49</v>
      </c>
      <c r="D80" s="1" t="s">
        <v>49</v>
      </c>
      <c r="E80" s="1" t="s">
        <v>379</v>
      </c>
      <c r="F80" s="1" t="s">
        <v>51</v>
      </c>
      <c r="G80" s="1" t="n">
        <v>-22.1525442</v>
      </c>
      <c r="H80" s="1" t="n">
        <v>-50.0935645</v>
      </c>
      <c r="I80" s="1" t="n">
        <v>-22.227114</v>
      </c>
      <c r="J80" s="1" t="n">
        <v>-49.9359818</v>
      </c>
      <c r="K80" s="1" t="n">
        <v>21.8</v>
      </c>
      <c r="L80" s="1" t="n">
        <v>21.2</v>
      </c>
      <c r="M80" s="1" t="s">
        <v>17</v>
      </c>
      <c r="N80" s="1" t="n">
        <v>0</v>
      </c>
    </row>
    <row r="81" customFormat="false" ht="13.8" hidden="false" customHeight="false" outlineLevel="0" collapsed="false">
      <c r="A81" s="1" t="n">
        <v>0</v>
      </c>
      <c r="B81" s="1" t="n">
        <v>1</v>
      </c>
      <c r="C81" s="1" t="s">
        <v>49</v>
      </c>
      <c r="D81" s="1" t="s">
        <v>49</v>
      </c>
      <c r="E81" s="1" t="s">
        <v>379</v>
      </c>
      <c r="F81" s="1" t="s">
        <v>52</v>
      </c>
      <c r="G81" s="1" t="n">
        <v>-22.1525442</v>
      </c>
      <c r="H81" s="1" t="n">
        <v>-50.0935645</v>
      </c>
      <c r="I81" s="1" t="n">
        <v>-22.224027</v>
      </c>
      <c r="J81" s="1" t="n">
        <v>-49.9472085</v>
      </c>
      <c r="K81" s="1" t="n">
        <v>20.5</v>
      </c>
      <c r="L81" s="1" t="n">
        <v>18.8</v>
      </c>
      <c r="M81" s="1" t="s">
        <v>17</v>
      </c>
      <c r="N81" s="1" t="n">
        <v>0</v>
      </c>
    </row>
    <row r="82" customFormat="false" ht="13.8" hidden="false" customHeight="false" outlineLevel="0" collapsed="false">
      <c r="C82" s="1"/>
    </row>
    <row r="83" customFormat="false" ht="13.8" hidden="false" customHeight="false" outlineLevel="0" collapsed="false">
      <c r="A83" s="1" t="n">
        <v>0</v>
      </c>
      <c r="B83" s="1" t="n">
        <v>1</v>
      </c>
      <c r="C83" s="1" t="s">
        <v>49</v>
      </c>
      <c r="D83" s="1" t="s">
        <v>49</v>
      </c>
      <c r="E83" s="1" t="s">
        <v>381</v>
      </c>
      <c r="F83" s="1" t="s">
        <v>51</v>
      </c>
      <c r="G83" s="1" t="n">
        <v>-22.314874</v>
      </c>
      <c r="H83" s="1" t="n">
        <v>-50.281118</v>
      </c>
      <c r="I83" s="1" t="n">
        <v>-22.227114</v>
      </c>
      <c r="J83" s="1" t="n">
        <v>-49.9359818</v>
      </c>
      <c r="K83" s="1" t="n">
        <v>44.2</v>
      </c>
      <c r="L83" s="1" t="n">
        <v>44.2</v>
      </c>
      <c r="M83" s="1" t="s">
        <v>17</v>
      </c>
      <c r="N83" s="1" t="n">
        <v>0</v>
      </c>
    </row>
    <row r="84" customFormat="false" ht="13.8" hidden="false" customHeight="false" outlineLevel="0" collapsed="false">
      <c r="A84" s="1" t="n">
        <v>0</v>
      </c>
      <c r="B84" s="1" t="n">
        <v>1</v>
      </c>
      <c r="C84" s="1" t="s">
        <v>49</v>
      </c>
      <c r="D84" s="1" t="s">
        <v>49</v>
      </c>
      <c r="E84" s="1" t="s">
        <v>381</v>
      </c>
      <c r="F84" s="1" t="s">
        <v>52</v>
      </c>
      <c r="G84" s="1" t="n">
        <v>-22.314874</v>
      </c>
      <c r="H84" s="1" t="n">
        <v>-50.281118</v>
      </c>
      <c r="I84" s="1" t="n">
        <v>-22.224027</v>
      </c>
      <c r="J84" s="1" t="n">
        <v>-49.9472085</v>
      </c>
      <c r="K84" s="1" t="n">
        <v>43.5</v>
      </c>
      <c r="L84" s="1" t="n">
        <v>43.8</v>
      </c>
      <c r="M84" s="1" t="s">
        <v>17</v>
      </c>
      <c r="N84" s="1" t="n">
        <v>0</v>
      </c>
    </row>
    <row r="85" customFormat="false" ht="13.8" hidden="false" customHeight="false" outlineLevel="0" collapsed="false">
      <c r="C85" s="1"/>
    </row>
    <row r="86" customFormat="false" ht="13.8" hidden="false" customHeight="false" outlineLevel="0" collapsed="false">
      <c r="A86" s="1" t="n">
        <v>0</v>
      </c>
      <c r="B86" s="1" t="n">
        <v>1</v>
      </c>
      <c r="C86" s="1" t="s">
        <v>49</v>
      </c>
      <c r="D86" s="1" t="s">
        <v>49</v>
      </c>
      <c r="E86" s="1" t="s">
        <v>425</v>
      </c>
      <c r="F86" s="1" t="s">
        <v>51</v>
      </c>
      <c r="G86" s="1" t="n">
        <v>-22.1088293</v>
      </c>
      <c r="H86" s="1" t="n">
        <v>-50.1720753</v>
      </c>
      <c r="I86" s="1" t="n">
        <v>-22.227114</v>
      </c>
      <c r="J86" s="1" t="n">
        <v>-49.9359818</v>
      </c>
      <c r="K86" s="1" t="n">
        <v>31.5</v>
      </c>
      <c r="L86" s="1" t="n">
        <v>28.3</v>
      </c>
      <c r="M86" s="1" t="s">
        <v>17</v>
      </c>
      <c r="N86" s="1" t="n">
        <v>0</v>
      </c>
    </row>
    <row r="87" customFormat="false" ht="13.8" hidden="false" customHeight="false" outlineLevel="0" collapsed="false">
      <c r="A87" s="1" t="n">
        <v>0</v>
      </c>
      <c r="B87" s="1" t="n">
        <v>1</v>
      </c>
      <c r="C87" s="1" t="s">
        <v>49</v>
      </c>
      <c r="D87" s="1" t="s">
        <v>49</v>
      </c>
      <c r="E87" s="1" t="s">
        <v>425</v>
      </c>
      <c r="F87" s="1" t="s">
        <v>52</v>
      </c>
      <c r="G87" s="1" t="n">
        <v>-22.1088293</v>
      </c>
      <c r="H87" s="1" t="n">
        <v>-50.1720753</v>
      </c>
      <c r="I87" s="1" t="n">
        <v>-22.224027</v>
      </c>
      <c r="J87" s="1" t="n">
        <v>-49.9472085</v>
      </c>
      <c r="K87" s="1" t="n">
        <v>30.2</v>
      </c>
      <c r="L87" s="1" t="n">
        <v>25.9</v>
      </c>
      <c r="M87" s="1" t="s">
        <v>17</v>
      </c>
      <c r="N87" s="1" t="n">
        <v>0</v>
      </c>
    </row>
    <row r="88" customFormat="false" ht="13.8" hidden="false" customHeight="false" outlineLevel="0" collapsed="false">
      <c r="C88" s="1"/>
    </row>
    <row r="89" customFormat="false" ht="13.8" hidden="false" customHeight="false" outlineLevel="0" collapsed="false">
      <c r="A89" s="1" t="n">
        <v>0</v>
      </c>
      <c r="B89" s="1" t="n">
        <v>1</v>
      </c>
      <c r="C89" s="1" t="s">
        <v>49</v>
      </c>
      <c r="D89" s="1" t="s">
        <v>49</v>
      </c>
      <c r="E89" s="1" t="s">
        <v>444</v>
      </c>
      <c r="F89" s="1" t="s">
        <v>51</v>
      </c>
      <c r="G89" s="1" t="n">
        <v>-22.0705513</v>
      </c>
      <c r="H89" s="1" t="n">
        <v>-50.308652</v>
      </c>
      <c r="I89" s="1" t="n">
        <v>-22.227114</v>
      </c>
      <c r="J89" s="1" t="n">
        <v>-49.9359818</v>
      </c>
      <c r="K89" s="1" t="n">
        <v>49.3</v>
      </c>
      <c r="L89" s="1" t="n">
        <v>43.1</v>
      </c>
      <c r="M89" s="1" t="s">
        <v>17</v>
      </c>
      <c r="N89" s="1" t="n">
        <v>0.06</v>
      </c>
    </row>
    <row r="90" customFormat="false" ht="13.8" hidden="false" customHeight="false" outlineLevel="0" collapsed="false">
      <c r="A90" s="1" t="n">
        <v>0</v>
      </c>
      <c r="B90" s="1" t="n">
        <v>1</v>
      </c>
      <c r="C90" s="1" t="s">
        <v>49</v>
      </c>
      <c r="D90" s="1" t="s">
        <v>49</v>
      </c>
      <c r="E90" s="1" t="s">
        <v>444</v>
      </c>
      <c r="F90" s="1" t="s">
        <v>52</v>
      </c>
      <c r="G90" s="1" t="n">
        <v>-22.0705513</v>
      </c>
      <c r="H90" s="1" t="n">
        <v>-50.308652</v>
      </c>
      <c r="I90" s="1" t="n">
        <v>-22.224027</v>
      </c>
      <c r="J90" s="1" t="n">
        <v>-49.9472085</v>
      </c>
      <c r="K90" s="1" t="n">
        <v>48</v>
      </c>
      <c r="L90" s="1" t="n">
        <v>40.7</v>
      </c>
      <c r="M90" s="1" t="s">
        <v>17</v>
      </c>
      <c r="N90" s="1" t="n">
        <v>0</v>
      </c>
    </row>
    <row r="91" customFormat="false" ht="13.8" hidden="false" customHeight="false" outlineLevel="0" collapsed="false">
      <c r="C91" s="1"/>
    </row>
    <row r="92" customFormat="false" ht="13.8" hidden="false" customHeight="false" outlineLevel="0" collapsed="false">
      <c r="A92" s="1" t="n">
        <v>0</v>
      </c>
      <c r="B92" s="1" t="n">
        <v>1</v>
      </c>
      <c r="C92" s="1" t="s">
        <v>49</v>
      </c>
      <c r="D92" s="1" t="s">
        <v>49</v>
      </c>
      <c r="E92" s="1" t="s">
        <v>563</v>
      </c>
      <c r="F92" s="1" t="s">
        <v>51</v>
      </c>
      <c r="G92" s="1" t="n">
        <v>-22.5261054</v>
      </c>
      <c r="H92" s="1" t="n">
        <v>-49.6635412</v>
      </c>
      <c r="I92" s="1" t="n">
        <v>-22.227114</v>
      </c>
      <c r="J92" s="1" t="n">
        <v>-49.9359818</v>
      </c>
      <c r="K92" s="1" t="n">
        <v>60.8</v>
      </c>
      <c r="L92" s="1" t="n">
        <v>61.7</v>
      </c>
      <c r="M92" s="1" t="s">
        <v>17</v>
      </c>
      <c r="N92" s="1" t="n">
        <v>0</v>
      </c>
    </row>
    <row r="93" customFormat="false" ht="13.8" hidden="false" customHeight="false" outlineLevel="0" collapsed="false">
      <c r="A93" s="1" t="n">
        <v>0</v>
      </c>
      <c r="B93" s="1" t="n">
        <v>1</v>
      </c>
      <c r="C93" s="1" t="s">
        <v>49</v>
      </c>
      <c r="D93" s="1" t="s">
        <v>49</v>
      </c>
      <c r="E93" s="1" t="s">
        <v>563</v>
      </c>
      <c r="F93" s="1" t="s">
        <v>52</v>
      </c>
      <c r="G93" s="1" t="n">
        <v>-22.5261054</v>
      </c>
      <c r="H93" s="1" t="n">
        <v>-49.6635412</v>
      </c>
      <c r="I93" s="1" t="n">
        <v>-22.224027</v>
      </c>
      <c r="J93" s="1" t="n">
        <v>-49.9472085</v>
      </c>
      <c r="K93" s="1" t="n">
        <v>61.8</v>
      </c>
      <c r="L93" s="1" t="n">
        <v>61.3</v>
      </c>
      <c r="M93" s="1" t="s">
        <v>17</v>
      </c>
      <c r="N93" s="1" t="n">
        <v>0</v>
      </c>
    </row>
    <row r="94" customFormat="false" ht="13.8" hidden="false" customHeight="false" outlineLevel="0" collapsed="false">
      <c r="C94" s="1"/>
    </row>
    <row r="95" customFormat="false" ht="13.8" hidden="false" customHeight="false" outlineLevel="0" collapsed="false">
      <c r="A95" s="1" t="n">
        <v>0</v>
      </c>
      <c r="B95" s="1" t="n">
        <v>1</v>
      </c>
      <c r="C95" s="1" t="s">
        <v>49</v>
      </c>
      <c r="D95" s="1" t="s">
        <v>49</v>
      </c>
      <c r="E95" s="1" t="s">
        <v>575</v>
      </c>
      <c r="F95" s="1" t="s">
        <v>52</v>
      </c>
      <c r="G95" s="1" t="n">
        <v>-22.2212638</v>
      </c>
      <c r="H95" s="1" t="n">
        <v>-49.8243021</v>
      </c>
      <c r="I95" s="1" t="n">
        <v>-22.224027</v>
      </c>
      <c r="J95" s="1" t="n">
        <v>-49.9472085</v>
      </c>
      <c r="K95" s="1" t="n">
        <v>14.6</v>
      </c>
      <c r="L95" s="1" t="n">
        <v>15.2</v>
      </c>
      <c r="M95" s="1" t="s">
        <v>17</v>
      </c>
      <c r="N95" s="1" t="n">
        <v>0</v>
      </c>
    </row>
    <row r="96" customFormat="false" ht="13.8" hidden="false" customHeight="false" outlineLevel="0" collapsed="false">
      <c r="A96" s="1" t="n">
        <v>0</v>
      </c>
      <c r="B96" s="1" t="n">
        <v>1</v>
      </c>
      <c r="C96" s="1" t="s">
        <v>49</v>
      </c>
      <c r="D96" s="1" t="s">
        <v>49</v>
      </c>
      <c r="E96" s="1" t="s">
        <v>575</v>
      </c>
      <c r="F96" s="1" t="s">
        <v>51</v>
      </c>
      <c r="G96" s="1" t="n">
        <v>-22.2212638</v>
      </c>
      <c r="H96" s="1" t="n">
        <v>-49.8243021</v>
      </c>
      <c r="I96" s="1" t="n">
        <v>-22.227114</v>
      </c>
      <c r="J96" s="1" t="n">
        <v>-49.9359818</v>
      </c>
      <c r="K96" s="1" t="n">
        <v>12.7</v>
      </c>
      <c r="L96" s="1" t="n">
        <v>13.6</v>
      </c>
      <c r="M96" s="1" t="s">
        <v>17</v>
      </c>
      <c r="N9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N4" activeCellId="0" sqref="N4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4" min="4" style="1" width="10.14"/>
    <col collapsed="false" customWidth="true" hidden="false" outlineLevel="0" max="5" min="5" style="1" width="19.11"/>
    <col collapsed="false" customWidth="true" hidden="false" outlineLevel="0" max="6" min="6" style="1" width="16.47"/>
    <col collapsed="false" customWidth="true" hidden="false" outlineLevel="0" max="10" min="7" style="1" width="12.28"/>
    <col collapsed="false" customWidth="true" hidden="false" outlineLevel="0" max="11" min="11" style="1" width="14.37"/>
    <col collapsed="false" customWidth="true" hidden="false" outlineLevel="0" max="12" min="12" style="1" width="16.8"/>
    <col collapsed="false" customWidth="true" hidden="false" outlineLevel="0" max="13" min="13" style="1" width="13.6"/>
    <col collapsed="false" customWidth="true" hidden="false" outlineLevel="0" max="16" min="16" style="1" width="12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582</v>
      </c>
      <c r="O1" s="1" t="s">
        <v>583</v>
      </c>
      <c r="P1" s="1" t="s">
        <v>584</v>
      </c>
      <c r="Q1" s="1" t="s">
        <v>585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s">
        <v>30</v>
      </c>
      <c r="D2" s="1" t="s">
        <v>30</v>
      </c>
      <c r="E2" s="1" t="s">
        <v>31</v>
      </c>
      <c r="F2" s="1" t="s">
        <v>32</v>
      </c>
      <c r="G2" s="1" t="n">
        <v>-22.4719836</v>
      </c>
      <c r="H2" s="1" t="n">
        <v>-48.9884476</v>
      </c>
      <c r="I2" s="1" t="n">
        <v>-22.3088056</v>
      </c>
      <c r="J2" s="1" t="n">
        <v>-49.0897729</v>
      </c>
      <c r="K2" s="1" t="n">
        <v>24.9</v>
      </c>
      <c r="L2" s="1" t="n">
        <v>23</v>
      </c>
      <c r="M2" s="1" t="s">
        <v>17</v>
      </c>
      <c r="N2" s="1" t="n">
        <v>0</v>
      </c>
      <c r="O2" s="1" t="n">
        <v>3</v>
      </c>
    </row>
    <row r="3" customFormat="false" ht="13.8" hidden="false" customHeight="false" outlineLevel="0" collapsed="false">
      <c r="A3" s="1" t="n">
        <v>0</v>
      </c>
      <c r="B3" s="1" t="n">
        <v>1</v>
      </c>
      <c r="C3" s="1" t="s">
        <v>30</v>
      </c>
      <c r="D3" s="1" t="s">
        <v>30</v>
      </c>
      <c r="E3" s="1" t="s">
        <v>31</v>
      </c>
      <c r="F3" s="1" t="s">
        <v>33</v>
      </c>
      <c r="G3" s="1" t="n">
        <v>-22.4719836</v>
      </c>
      <c r="H3" s="1" t="n">
        <v>-48.9884476</v>
      </c>
      <c r="I3" s="1" t="n">
        <v>-22.3305675</v>
      </c>
      <c r="J3" s="1" t="n">
        <v>-49.0775289</v>
      </c>
      <c r="K3" s="1" t="n">
        <v>21.4</v>
      </c>
      <c r="L3" s="1" t="n">
        <v>18.6</v>
      </c>
      <c r="M3" s="1" t="s">
        <v>17</v>
      </c>
      <c r="N3" s="1" t="n">
        <v>0</v>
      </c>
      <c r="O3" s="1" t="n">
        <v>10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s">
        <v>30</v>
      </c>
      <c r="D4" s="1" t="s">
        <v>30</v>
      </c>
      <c r="E4" s="1" t="s">
        <v>31</v>
      </c>
      <c r="F4" s="1" t="s">
        <v>586</v>
      </c>
    </row>
    <row r="5" customFormat="false" ht="13.8" hidden="false" customHeight="false" outlineLevel="0" collapsed="false">
      <c r="C5" s="1"/>
    </row>
    <row r="6" customFormat="false" ht="13.8" hidden="false" customHeight="false" outlineLevel="0" collapsed="false">
      <c r="A6" s="1" t="n">
        <v>0</v>
      </c>
      <c r="B6" s="1" t="n">
        <v>1</v>
      </c>
      <c r="C6" s="1" t="s">
        <v>30</v>
      </c>
      <c r="D6" s="1" t="s">
        <v>30</v>
      </c>
      <c r="E6" s="1" t="s">
        <v>76</v>
      </c>
      <c r="F6" s="1" t="s">
        <v>32</v>
      </c>
      <c r="G6" s="1" t="n">
        <v>-22.0301906</v>
      </c>
      <c r="H6" s="1" t="n">
        <v>-48.9111936</v>
      </c>
      <c r="I6" s="1" t="n">
        <v>-22.3305675</v>
      </c>
      <c r="J6" s="1" t="n">
        <v>-49.0775289</v>
      </c>
      <c r="K6" s="1" t="n">
        <v>44.8</v>
      </c>
      <c r="L6" s="1" t="n">
        <v>40.4</v>
      </c>
      <c r="M6" s="1" t="s">
        <v>17</v>
      </c>
      <c r="N6" s="1" t="n">
        <v>0.08</v>
      </c>
    </row>
    <row r="7" customFormat="false" ht="13.8" hidden="false" customHeight="false" outlineLevel="0" collapsed="false">
      <c r="A7" s="1" t="n">
        <v>0</v>
      </c>
      <c r="B7" s="1" t="n">
        <v>1</v>
      </c>
      <c r="C7" s="1" t="s">
        <v>30</v>
      </c>
      <c r="D7" s="1" t="s">
        <v>30</v>
      </c>
      <c r="E7" s="1" t="s">
        <v>76</v>
      </c>
      <c r="F7" s="1" t="s">
        <v>33</v>
      </c>
      <c r="G7" s="1" t="n">
        <v>-22.0301906</v>
      </c>
      <c r="H7" s="1" t="n">
        <v>-48.9111936</v>
      </c>
      <c r="I7" s="1" t="n">
        <v>-22.3088056</v>
      </c>
      <c r="J7" s="1" t="n">
        <v>-49.0897729</v>
      </c>
      <c r="K7" s="1" t="n">
        <v>43.3</v>
      </c>
      <c r="L7" s="1" t="n">
        <v>38.4</v>
      </c>
      <c r="M7" s="1" t="s">
        <v>17</v>
      </c>
      <c r="N7" s="1" t="n">
        <v>0.02</v>
      </c>
    </row>
    <row r="8" customFormat="false" ht="13.8" hidden="false" customHeight="false" outlineLevel="0" collapsed="false">
      <c r="C8" s="1"/>
    </row>
    <row r="9" customFormat="false" ht="13.8" hidden="false" customHeight="false" outlineLevel="0" collapsed="false">
      <c r="C9" s="1"/>
    </row>
    <row r="10" customFormat="false" ht="13.8" hidden="false" customHeight="false" outlineLevel="0" collapsed="false">
      <c r="A10" s="1" t="n">
        <v>0</v>
      </c>
      <c r="B10" s="1" t="n">
        <v>1</v>
      </c>
      <c r="C10" s="1" t="s">
        <v>30</v>
      </c>
      <c r="D10" s="1" t="s">
        <v>30</v>
      </c>
      <c r="E10" s="1" t="s">
        <v>88</v>
      </c>
      <c r="F10" s="1" t="s">
        <v>32</v>
      </c>
      <c r="G10" s="1" t="n">
        <v>-22.1564662</v>
      </c>
      <c r="H10" s="1" t="n">
        <v>-49.3316395</v>
      </c>
      <c r="I10" s="1" t="n">
        <v>-22.3305675</v>
      </c>
      <c r="J10" s="1" t="n">
        <v>-49.0775289</v>
      </c>
      <c r="K10" s="1" t="n">
        <v>43.3</v>
      </c>
      <c r="L10" s="1" t="n">
        <v>35.7</v>
      </c>
      <c r="M10" s="1" t="s">
        <v>17</v>
      </c>
      <c r="N10" s="1" t="n">
        <v>0.13</v>
      </c>
    </row>
    <row r="11" customFormat="false" ht="13.8" hidden="false" customHeight="false" outlineLevel="0" collapsed="false">
      <c r="A11" s="1" t="n">
        <v>0</v>
      </c>
      <c r="B11" s="1" t="n">
        <v>1</v>
      </c>
      <c r="C11" s="1" t="s">
        <v>30</v>
      </c>
      <c r="D11" s="1" t="s">
        <v>30</v>
      </c>
      <c r="E11" s="1" t="s">
        <v>88</v>
      </c>
      <c r="F11" s="1" t="s">
        <v>33</v>
      </c>
      <c r="G11" s="1" t="n">
        <v>-22.1564662</v>
      </c>
      <c r="H11" s="1" t="n">
        <v>-49.3316395</v>
      </c>
      <c r="I11" s="1" t="n">
        <v>-22.3088056</v>
      </c>
      <c r="J11" s="1" t="n">
        <v>-49.0897729</v>
      </c>
      <c r="K11" s="1" t="n">
        <v>39.4</v>
      </c>
      <c r="L11" s="1" t="n">
        <v>33.1</v>
      </c>
      <c r="M11" s="1" t="s">
        <v>17</v>
      </c>
      <c r="N11" s="1" t="n">
        <v>0</v>
      </c>
    </row>
    <row r="12" customFormat="false" ht="13.8" hidden="false" customHeight="false" outlineLevel="0" collapsed="false">
      <c r="C12" s="1"/>
    </row>
    <row r="13" customFormat="false" ht="13.8" hidden="false" customHeight="false" outlineLevel="0" collapsed="false">
      <c r="C13" s="1"/>
    </row>
    <row r="14" customFormat="false" ht="13.8" hidden="false" customHeight="false" outlineLevel="0" collapsed="false">
      <c r="A14" s="1" t="n">
        <v>0</v>
      </c>
      <c r="B14" s="1" t="n">
        <v>1</v>
      </c>
      <c r="C14" s="1" t="s">
        <v>30</v>
      </c>
      <c r="D14" s="1" t="s">
        <v>30</v>
      </c>
      <c r="E14" s="1" t="s">
        <v>257</v>
      </c>
      <c r="F14" s="1" t="s">
        <v>32</v>
      </c>
      <c r="G14" s="1" t="n">
        <v>-21.8928341</v>
      </c>
      <c r="H14" s="1" t="n">
        <v>-49.0226082</v>
      </c>
      <c r="I14" s="1" t="n">
        <v>-22.3305675</v>
      </c>
      <c r="J14" s="1" t="n">
        <v>-49.0775289</v>
      </c>
      <c r="K14" s="1" t="n">
        <v>52.2</v>
      </c>
      <c r="L14" s="1" t="n">
        <v>42.5</v>
      </c>
      <c r="M14" s="1" t="s">
        <v>17</v>
      </c>
      <c r="N14" s="1" t="n">
        <v>0</v>
      </c>
    </row>
    <row r="15" customFormat="false" ht="13.8" hidden="false" customHeight="false" outlineLevel="0" collapsed="false">
      <c r="A15" s="1" t="n">
        <v>0</v>
      </c>
      <c r="B15" s="1" t="n">
        <v>1</v>
      </c>
      <c r="C15" s="1" t="s">
        <v>30</v>
      </c>
      <c r="D15" s="1" t="s">
        <v>30</v>
      </c>
      <c r="E15" s="1" t="s">
        <v>257</v>
      </c>
      <c r="F15" s="1" t="s">
        <v>33</v>
      </c>
      <c r="G15" s="1" t="n">
        <v>-21.8928341</v>
      </c>
      <c r="H15" s="1" t="n">
        <v>-49.0226082</v>
      </c>
      <c r="I15" s="1" t="n">
        <v>-22.3088056</v>
      </c>
      <c r="J15" s="1" t="n">
        <v>-49.0897729</v>
      </c>
      <c r="K15" s="1" t="n">
        <v>50.6</v>
      </c>
      <c r="L15" s="1" t="n">
        <v>40.5</v>
      </c>
      <c r="M15" s="1" t="s">
        <v>17</v>
      </c>
      <c r="N15" s="1" t="n">
        <v>0.14</v>
      </c>
    </row>
    <row r="16" customFormat="false" ht="13.8" hidden="false" customHeight="false" outlineLevel="0" collapsed="false">
      <c r="C16" s="1"/>
    </row>
    <row r="17" customFormat="false" ht="13.8" hidden="false" customHeight="false" outlineLevel="0" collapsed="false">
      <c r="C17" s="1"/>
    </row>
    <row r="18" customFormat="false" ht="13.8" hidden="false" customHeight="false" outlineLevel="0" collapsed="false">
      <c r="A18" s="1" t="n">
        <v>0</v>
      </c>
      <c r="B18" s="1" t="n">
        <v>1</v>
      </c>
      <c r="C18" s="1" t="s">
        <v>30</v>
      </c>
      <c r="D18" s="1" t="s">
        <v>30</v>
      </c>
      <c r="E18" s="1" t="s">
        <v>587</v>
      </c>
      <c r="F18" s="1" t="s">
        <v>32</v>
      </c>
      <c r="G18" s="1" t="n">
        <v>-23.4346441</v>
      </c>
      <c r="H18" s="1" t="n">
        <v>-46.5157181</v>
      </c>
      <c r="I18" s="1" t="n">
        <v>-22.3088056</v>
      </c>
      <c r="J18" s="1" t="n">
        <v>-49.0897729</v>
      </c>
      <c r="K18" s="1" t="n">
        <v>36.2</v>
      </c>
      <c r="L18" s="1" t="n">
        <v>37</v>
      </c>
      <c r="M18" s="1" t="s">
        <v>38</v>
      </c>
      <c r="N18" s="1" t="n">
        <v>0</v>
      </c>
    </row>
    <row r="19" customFormat="false" ht="13.8" hidden="false" customHeight="false" outlineLevel="0" collapsed="false">
      <c r="A19" s="1" t="n">
        <v>0</v>
      </c>
      <c r="B19" s="1" t="n">
        <v>1</v>
      </c>
      <c r="C19" s="1" t="s">
        <v>30</v>
      </c>
      <c r="D19" s="1" t="s">
        <v>30</v>
      </c>
      <c r="E19" s="1" t="s">
        <v>587</v>
      </c>
      <c r="F19" s="1" t="s">
        <v>33</v>
      </c>
      <c r="G19" s="1" t="n">
        <v>-23.4346441</v>
      </c>
      <c r="H19" s="1" t="n">
        <v>-46.5157181</v>
      </c>
      <c r="I19" s="1" t="n">
        <v>-22.3088056</v>
      </c>
      <c r="J19" s="1" t="n">
        <v>-49.0897729</v>
      </c>
      <c r="K19" s="1" t="n">
        <v>34</v>
      </c>
      <c r="L19" s="1" t="n">
        <v>35</v>
      </c>
      <c r="M19" s="1" t="s">
        <v>38</v>
      </c>
      <c r="N19" s="1" t="n">
        <v>0</v>
      </c>
    </row>
    <row r="20" customFormat="false" ht="13.8" hidden="false" customHeight="false" outlineLevel="0" collapsed="false">
      <c r="C20" s="1"/>
    </row>
    <row r="21" customFormat="false" ht="13.8" hidden="false" customHeight="false" outlineLevel="0" collapsed="false">
      <c r="C21" s="1"/>
    </row>
    <row r="22" customFormat="false" ht="13.8" hidden="false" customHeight="false" outlineLevel="0" collapsed="false">
      <c r="A22" s="1" t="n">
        <v>0</v>
      </c>
      <c r="B22" s="1" t="n">
        <v>1</v>
      </c>
      <c r="C22" s="1" t="s">
        <v>30</v>
      </c>
      <c r="D22" s="1" t="s">
        <v>30</v>
      </c>
      <c r="E22" s="1" t="s">
        <v>419</v>
      </c>
      <c r="F22" s="1" t="s">
        <v>32</v>
      </c>
      <c r="G22" s="1" t="n">
        <v>-22.4136363</v>
      </c>
      <c r="H22" s="1" t="n">
        <v>-49.1351479</v>
      </c>
      <c r="I22" s="1" t="n">
        <v>-22.3088056</v>
      </c>
      <c r="J22" s="1" t="n">
        <v>-49.0897729</v>
      </c>
      <c r="K22" s="1" t="n">
        <v>15.2</v>
      </c>
      <c r="L22" s="1" t="n">
        <v>21.2</v>
      </c>
      <c r="M22" s="1" t="s">
        <v>17</v>
      </c>
      <c r="N22" s="1" t="n">
        <v>0</v>
      </c>
    </row>
    <row r="23" customFormat="false" ht="13.8" hidden="false" customHeight="false" outlineLevel="0" collapsed="false">
      <c r="A23" s="1" t="n">
        <v>0</v>
      </c>
      <c r="B23" s="1" t="n">
        <v>1</v>
      </c>
      <c r="C23" s="1" t="s">
        <v>30</v>
      </c>
      <c r="D23" s="1" t="s">
        <v>30</v>
      </c>
      <c r="E23" s="1" t="s">
        <v>419</v>
      </c>
      <c r="F23" s="1" t="s">
        <v>33</v>
      </c>
      <c r="G23" s="1" t="n">
        <v>-22.4136363</v>
      </c>
      <c r="H23" s="1" t="n">
        <v>-49.1351479</v>
      </c>
      <c r="I23" s="1" t="n">
        <v>-22.3305675</v>
      </c>
      <c r="J23" s="1" t="n">
        <v>-49.0775289</v>
      </c>
      <c r="K23" s="1" t="n">
        <v>12.4</v>
      </c>
      <c r="L23" s="1" t="n">
        <v>15.7</v>
      </c>
      <c r="M23" s="1" t="s">
        <v>17</v>
      </c>
      <c r="N23" s="1" t="n">
        <v>0</v>
      </c>
    </row>
    <row r="27" customFormat="false" ht="13.8" hidden="false" customHeight="false" outlineLevel="0" collapsed="false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1" t="s">
        <v>582</v>
      </c>
    </row>
    <row r="28" customFormat="false" ht="13.8" hidden="false" customHeight="false" outlineLevel="0" collapsed="false">
      <c r="A28" s="1" t="n">
        <v>0</v>
      </c>
      <c r="B28" s="1" t="n">
        <v>1</v>
      </c>
      <c r="C28" s="1" t="s">
        <v>82</v>
      </c>
      <c r="D28" s="1" t="s">
        <v>143</v>
      </c>
      <c r="E28" s="1" t="s">
        <v>144</v>
      </c>
      <c r="F28" s="1" t="s">
        <v>145</v>
      </c>
      <c r="G28" s="1" t="n">
        <v>-23.3076663</v>
      </c>
      <c r="H28" s="1" t="n">
        <v>-47.1324726</v>
      </c>
      <c r="I28" s="1" t="n">
        <v>-23.1838628</v>
      </c>
      <c r="J28" s="1" t="n">
        <v>-46.8899187</v>
      </c>
      <c r="K28" s="1" t="n">
        <v>36</v>
      </c>
      <c r="L28" s="1" t="n">
        <v>33.3</v>
      </c>
      <c r="M28" s="1" t="s">
        <v>17</v>
      </c>
      <c r="N28" s="1" t="n">
        <v>0</v>
      </c>
    </row>
    <row r="29" customFormat="false" ht="13.8" hidden="false" customHeight="false" outlineLevel="0" collapsed="false">
      <c r="A29" s="1" t="n">
        <v>0</v>
      </c>
      <c r="B29" s="1" t="n">
        <v>1</v>
      </c>
      <c r="C29" s="1" t="s">
        <v>82</v>
      </c>
      <c r="D29" s="1" t="s">
        <v>143</v>
      </c>
      <c r="E29" s="1" t="s">
        <v>144</v>
      </c>
      <c r="F29" s="1" t="s">
        <v>146</v>
      </c>
      <c r="G29" s="1" t="n">
        <v>-23.3076663</v>
      </c>
      <c r="H29" s="1" t="n">
        <v>-47.1324726</v>
      </c>
      <c r="I29" s="1" t="n">
        <v>-23.205120222563</v>
      </c>
      <c r="J29" s="1" t="n">
        <v>-46.8921294032143</v>
      </c>
      <c r="K29" s="1" t="n">
        <v>36.2</v>
      </c>
      <c r="L29" s="1" t="n">
        <v>32.9</v>
      </c>
      <c r="M29" s="1" t="s">
        <v>17</v>
      </c>
      <c r="N29" s="1" t="n">
        <v>0</v>
      </c>
    </row>
    <row r="30" customFormat="false" ht="13.8" hidden="false" customHeight="false" outlineLevel="0" collapsed="false">
      <c r="C30" s="1"/>
    </row>
    <row r="31" customFormat="false" ht="13.8" hidden="false" customHeight="false" outlineLevel="0" collapsed="false">
      <c r="C31" s="1"/>
    </row>
    <row r="32" customFormat="false" ht="13.8" hidden="false" customHeight="false" outlineLevel="0" collapsed="false">
      <c r="A32" s="1" t="n">
        <v>0</v>
      </c>
      <c r="B32" s="1" t="n">
        <v>1</v>
      </c>
      <c r="C32" s="1" t="s">
        <v>82</v>
      </c>
      <c r="D32" s="1" t="s">
        <v>143</v>
      </c>
      <c r="E32" s="1" t="s">
        <v>158</v>
      </c>
      <c r="F32" s="1" t="s">
        <v>146</v>
      </c>
      <c r="G32" s="1" t="n">
        <v>-23.207791</v>
      </c>
      <c r="H32" s="1" t="n">
        <v>-46.788919</v>
      </c>
      <c r="I32" s="1" t="n">
        <v>-23.205120222563</v>
      </c>
      <c r="J32" s="1" t="n">
        <v>-46.8921294032143</v>
      </c>
      <c r="K32" s="1" t="n">
        <v>13.7</v>
      </c>
      <c r="L32" s="1" t="n">
        <v>19.9</v>
      </c>
      <c r="M32" s="1" t="s">
        <v>17</v>
      </c>
      <c r="N32" s="1" t="n">
        <v>0</v>
      </c>
    </row>
    <row r="33" customFormat="false" ht="13.8" hidden="false" customHeight="false" outlineLevel="0" collapsed="false">
      <c r="A33" s="1" t="n">
        <v>0</v>
      </c>
      <c r="B33" s="1" t="n">
        <v>1</v>
      </c>
      <c r="C33" s="1" t="s">
        <v>82</v>
      </c>
      <c r="D33" s="1" t="s">
        <v>143</v>
      </c>
      <c r="E33" s="1" t="s">
        <v>158</v>
      </c>
      <c r="F33" s="1" t="s">
        <v>145</v>
      </c>
      <c r="G33" s="1" t="n">
        <v>-23.207791</v>
      </c>
      <c r="H33" s="1" t="n">
        <v>-46.788919</v>
      </c>
      <c r="I33" s="1" t="n">
        <v>-23.1838628</v>
      </c>
      <c r="J33" s="1" t="n">
        <v>-46.8899187</v>
      </c>
      <c r="K33" s="1" t="n">
        <v>14.2</v>
      </c>
      <c r="L33" s="1" t="n">
        <v>18.6</v>
      </c>
      <c r="M33" s="1" t="s">
        <v>17</v>
      </c>
      <c r="N33" s="1" t="n">
        <v>0</v>
      </c>
    </row>
    <row r="34" customFormat="false" ht="13.8" hidden="false" customHeight="false" outlineLevel="0" collapsed="false">
      <c r="C34" s="1"/>
    </row>
    <row r="35" customFormat="false" ht="13.8" hidden="false" customHeight="false" outlineLevel="0" collapsed="false">
      <c r="C35" s="1"/>
    </row>
    <row r="36" customFormat="false" ht="13.8" hidden="false" customHeight="false" outlineLevel="0" collapsed="false">
      <c r="A36" s="1" t="n">
        <v>0</v>
      </c>
      <c r="B36" s="1" t="n">
        <v>1</v>
      </c>
      <c r="C36" s="1" t="s">
        <v>82</v>
      </c>
      <c r="D36" s="1" t="s">
        <v>143</v>
      </c>
      <c r="E36" s="1" t="s">
        <v>294</v>
      </c>
      <c r="F36" s="1" t="s">
        <v>145</v>
      </c>
      <c r="G36" s="1" t="n">
        <v>-23.1531055</v>
      </c>
      <c r="H36" s="1" t="n">
        <v>-47.0580347</v>
      </c>
      <c r="I36" s="1" t="n">
        <v>-23.1838628</v>
      </c>
      <c r="J36" s="1" t="n">
        <v>-46.8899187</v>
      </c>
      <c r="K36" s="1" t="n">
        <v>22.1</v>
      </c>
      <c r="L36" s="1" t="n">
        <v>24.3</v>
      </c>
      <c r="M36" s="1" t="s">
        <v>17</v>
      </c>
      <c r="N36" s="1" t="n">
        <v>0</v>
      </c>
    </row>
    <row r="37" customFormat="false" ht="13.8" hidden="false" customHeight="false" outlineLevel="0" collapsed="false">
      <c r="A37" s="1" t="n">
        <v>0</v>
      </c>
      <c r="B37" s="1" t="n">
        <v>1</v>
      </c>
      <c r="C37" s="1" t="s">
        <v>82</v>
      </c>
      <c r="D37" s="1" t="s">
        <v>143</v>
      </c>
      <c r="E37" s="1" t="s">
        <v>294</v>
      </c>
      <c r="F37" s="1" t="s">
        <v>146</v>
      </c>
      <c r="G37" s="1" t="n">
        <v>-23.1531055</v>
      </c>
      <c r="H37" s="1" t="n">
        <v>-47.0580347</v>
      </c>
      <c r="I37" s="1" t="n">
        <v>-23.205120222563</v>
      </c>
      <c r="J37" s="1" t="n">
        <v>-46.8921294032143</v>
      </c>
      <c r="K37" s="1" t="n">
        <v>22.4</v>
      </c>
      <c r="L37" s="1" t="n">
        <v>24</v>
      </c>
      <c r="M37" s="1" t="s">
        <v>17</v>
      </c>
      <c r="N37" s="1" t="n">
        <v>0</v>
      </c>
    </row>
    <row r="38" customFormat="false" ht="13.8" hidden="false" customHeight="false" outlineLevel="0" collapsed="false">
      <c r="C38" s="1"/>
    </row>
    <row r="39" customFormat="false" ht="13.8" hidden="false" customHeight="false" outlineLevel="0" collapsed="false">
      <c r="C39" s="1"/>
    </row>
    <row r="40" customFormat="false" ht="13.8" hidden="false" customHeight="false" outlineLevel="0" collapsed="false">
      <c r="A40" s="1" t="n">
        <v>0</v>
      </c>
      <c r="B40" s="1" t="n">
        <v>1</v>
      </c>
      <c r="C40" s="1" t="s">
        <v>82</v>
      </c>
      <c r="D40" s="1" t="s">
        <v>143</v>
      </c>
      <c r="E40" s="1" t="s">
        <v>302</v>
      </c>
      <c r="F40" s="1" t="s">
        <v>146</v>
      </c>
      <c r="G40" s="1" t="n">
        <v>-23.0949649</v>
      </c>
      <c r="H40" s="1" t="n">
        <v>-46.7148565</v>
      </c>
      <c r="I40" s="1" t="n">
        <v>-23.205120222563</v>
      </c>
      <c r="J40" s="1" t="n">
        <v>-46.8921294032143</v>
      </c>
      <c r="K40" s="1" t="n">
        <v>28.8</v>
      </c>
      <c r="L40" s="1" t="n">
        <v>34.5</v>
      </c>
      <c r="M40" s="1" t="s">
        <v>17</v>
      </c>
      <c r="N40" s="1" t="n">
        <v>0</v>
      </c>
    </row>
    <row r="41" customFormat="false" ht="13.8" hidden="false" customHeight="false" outlineLevel="0" collapsed="false">
      <c r="A41" s="1" t="n">
        <v>0</v>
      </c>
      <c r="B41" s="1" t="n">
        <v>1</v>
      </c>
      <c r="C41" s="1" t="s">
        <v>82</v>
      </c>
      <c r="D41" s="1" t="s">
        <v>143</v>
      </c>
      <c r="E41" s="1" t="s">
        <v>302</v>
      </c>
      <c r="F41" s="1" t="s">
        <v>145</v>
      </c>
      <c r="G41" s="1" t="n">
        <v>-23.0949649</v>
      </c>
      <c r="H41" s="1" t="n">
        <v>-46.7148565</v>
      </c>
      <c r="I41" s="1" t="n">
        <v>-23.1838628</v>
      </c>
      <c r="J41" s="1" t="n">
        <v>-46.8899187</v>
      </c>
      <c r="K41" s="1" t="n">
        <v>29.3</v>
      </c>
      <c r="L41" s="1" t="n">
        <v>33.2</v>
      </c>
      <c r="M41" s="1" t="s">
        <v>17</v>
      </c>
      <c r="N41" s="1" t="n">
        <v>0</v>
      </c>
    </row>
    <row r="42" customFormat="false" ht="13.8" hidden="false" customHeight="false" outlineLevel="0" collapsed="false">
      <c r="C42" s="1"/>
    </row>
    <row r="43" customFormat="false" ht="13.8" hidden="false" customHeight="false" outlineLevel="0" collapsed="false">
      <c r="C43" s="1"/>
    </row>
    <row r="44" customFormat="false" ht="13.8" hidden="false" customHeight="false" outlineLevel="0" collapsed="false">
      <c r="A44" s="1" t="n">
        <v>0</v>
      </c>
      <c r="B44" s="1" t="n">
        <v>1</v>
      </c>
      <c r="C44" s="1" t="s">
        <v>82</v>
      </c>
      <c r="D44" s="1" t="s">
        <v>143</v>
      </c>
      <c r="E44" s="1" t="s">
        <v>317</v>
      </c>
      <c r="F44" s="1" t="s">
        <v>146</v>
      </c>
      <c r="G44" s="1" t="n">
        <v>-23.08639</v>
      </c>
      <c r="H44" s="1" t="n">
        <v>-46.95056</v>
      </c>
      <c r="I44" s="1" t="n">
        <v>-23.205120222563</v>
      </c>
      <c r="J44" s="1" t="n">
        <v>-46.8921294032143</v>
      </c>
      <c r="K44" s="1" t="n">
        <v>19</v>
      </c>
      <c r="L44" s="1" t="n">
        <v>16.7</v>
      </c>
      <c r="M44" s="1" t="s">
        <v>17</v>
      </c>
      <c r="N44" s="1" t="n">
        <v>0.5</v>
      </c>
    </row>
    <row r="45" customFormat="false" ht="13.8" hidden="false" customHeight="false" outlineLevel="0" collapsed="false">
      <c r="A45" s="1" t="n">
        <v>0</v>
      </c>
      <c r="B45" s="1" t="n">
        <v>1</v>
      </c>
      <c r="C45" s="1" t="s">
        <v>82</v>
      </c>
      <c r="D45" s="1" t="s">
        <v>143</v>
      </c>
      <c r="E45" s="1" t="s">
        <v>317</v>
      </c>
      <c r="F45" s="1" t="s">
        <v>145</v>
      </c>
      <c r="G45" s="1" t="n">
        <v>-23.08639</v>
      </c>
      <c r="H45" s="1" t="n">
        <v>-46.95056</v>
      </c>
      <c r="I45" s="1" t="n">
        <v>-23.1838628</v>
      </c>
      <c r="J45" s="1" t="n">
        <v>-46.8899187</v>
      </c>
      <c r="K45" s="1" t="n">
        <v>14.1</v>
      </c>
      <c r="L45" s="1" t="n">
        <v>16.3</v>
      </c>
      <c r="M45" s="1" t="s">
        <v>17</v>
      </c>
      <c r="N45" s="1" t="n">
        <v>0.5</v>
      </c>
    </row>
    <row r="46" customFormat="false" ht="13.8" hidden="false" customHeight="false" outlineLevel="0" collapsed="false">
      <c r="C46" s="1"/>
    </row>
    <row r="47" customFormat="false" ht="13.8" hidden="false" customHeight="false" outlineLevel="0" collapsed="false">
      <c r="C47" s="1"/>
    </row>
    <row r="48" customFormat="false" ht="13.8" hidden="false" customHeight="false" outlineLevel="0" collapsed="false">
      <c r="A48" s="1" t="n">
        <v>0</v>
      </c>
      <c r="B48" s="1" t="n">
        <v>1</v>
      </c>
      <c r="C48" s="1" t="s">
        <v>82</v>
      </c>
      <c r="D48" s="1" t="s">
        <v>143</v>
      </c>
      <c r="E48" s="1" t="s">
        <v>574</v>
      </c>
      <c r="F48" s="1" t="s">
        <v>146</v>
      </c>
      <c r="G48" s="1" t="n">
        <v>-23.2113889</v>
      </c>
      <c r="H48" s="1" t="n">
        <v>-46.8283333</v>
      </c>
      <c r="I48" s="1" t="n">
        <v>-23.205120222563</v>
      </c>
      <c r="J48" s="1" t="n">
        <v>-46.8921294032143</v>
      </c>
      <c r="K48" s="1" t="n">
        <v>8.4</v>
      </c>
      <c r="L48" s="1" t="n">
        <v>14</v>
      </c>
      <c r="M48" s="1" t="s">
        <v>17</v>
      </c>
      <c r="N48" s="1" t="n">
        <v>0.2</v>
      </c>
    </row>
    <row r="49" customFormat="false" ht="13.8" hidden="false" customHeight="false" outlineLevel="0" collapsed="false">
      <c r="A49" s="1" t="n">
        <v>0</v>
      </c>
      <c r="B49" s="1" t="n">
        <v>1</v>
      </c>
      <c r="C49" s="1" t="s">
        <v>82</v>
      </c>
      <c r="D49" s="1" t="s">
        <v>143</v>
      </c>
      <c r="E49" s="1" t="s">
        <v>574</v>
      </c>
      <c r="F49" s="1" t="s">
        <v>145</v>
      </c>
      <c r="G49" s="1" t="n">
        <v>-23.2113889</v>
      </c>
      <c r="H49" s="1" t="n">
        <v>-46.8283333</v>
      </c>
      <c r="I49" s="1" t="n">
        <v>-23.1838628</v>
      </c>
      <c r="J49" s="1" t="n">
        <v>-46.8899187</v>
      </c>
      <c r="K49" s="1" t="n">
        <v>8.9</v>
      </c>
      <c r="L49" s="1" t="n">
        <v>12.7</v>
      </c>
      <c r="M49" s="1" t="s">
        <v>17</v>
      </c>
      <c r="N49" s="1" t="n">
        <v>0</v>
      </c>
    </row>
    <row r="50" customFormat="false" ht="13.8" hidden="false" customHeight="false" outlineLevel="0" collapsed="false">
      <c r="C50" s="1"/>
    </row>
    <row r="54" customFormat="false" ht="13.8" hidden="false" customHeight="false" outlineLevel="0" collapsed="false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  <c r="N54" s="1" t="s">
        <v>582</v>
      </c>
    </row>
    <row r="55" customFormat="false" ht="13.8" hidden="false" customHeight="false" outlineLevel="0" collapsed="false">
      <c r="A55" s="1" t="n">
        <v>0</v>
      </c>
      <c r="B55" s="1" t="n">
        <v>1</v>
      </c>
      <c r="C55" s="1" t="s">
        <v>49</v>
      </c>
      <c r="D55" s="1" t="s">
        <v>49</v>
      </c>
      <c r="E55" s="1" t="s">
        <v>50</v>
      </c>
      <c r="F55" s="1" t="s">
        <v>51</v>
      </c>
      <c r="G55" s="1" t="n">
        <v>-22.0787992</v>
      </c>
      <c r="H55" s="1" t="n">
        <v>-49.7194861</v>
      </c>
      <c r="I55" s="1" t="n">
        <v>-22.227114</v>
      </c>
      <c r="J55" s="1" t="n">
        <v>-49.9359818</v>
      </c>
      <c r="K55" s="1" t="n">
        <v>49.7</v>
      </c>
      <c r="L55" s="1" t="n">
        <v>45.9</v>
      </c>
      <c r="M55" s="1" t="s">
        <v>17</v>
      </c>
      <c r="N55" s="1" t="n">
        <v>0</v>
      </c>
    </row>
    <row r="56" customFormat="false" ht="13.8" hidden="false" customHeight="false" outlineLevel="0" collapsed="false">
      <c r="A56" s="1" t="n">
        <v>0</v>
      </c>
      <c r="B56" s="1" t="n">
        <v>1</v>
      </c>
      <c r="C56" s="1" t="s">
        <v>49</v>
      </c>
      <c r="D56" s="1" t="s">
        <v>49</v>
      </c>
      <c r="E56" s="1" t="s">
        <v>50</v>
      </c>
      <c r="F56" s="1" t="s">
        <v>52</v>
      </c>
      <c r="G56" s="1" t="n">
        <v>-22.0787992</v>
      </c>
      <c r="H56" s="1" t="n">
        <v>-49.7194861</v>
      </c>
      <c r="I56" s="1" t="n">
        <v>-22.224027</v>
      </c>
      <c r="J56" s="1" t="n">
        <v>-49.9472085</v>
      </c>
      <c r="K56" s="1" t="n">
        <v>45.5</v>
      </c>
      <c r="L56" s="1" t="n">
        <v>45.1</v>
      </c>
      <c r="M56" s="1" t="s">
        <v>17</v>
      </c>
      <c r="N56" s="1" t="n">
        <v>0</v>
      </c>
    </row>
    <row r="57" customFormat="false" ht="13.8" hidden="false" customHeight="false" outlineLevel="0" collapsed="false">
      <c r="C57" s="1"/>
    </row>
    <row r="58" customFormat="false" ht="13.8" hidden="false" customHeight="false" outlineLevel="0" collapsed="false">
      <c r="C58" s="1"/>
    </row>
    <row r="59" customFormat="false" ht="13.8" hidden="false" customHeight="false" outlineLevel="0" collapsed="false">
      <c r="A59" s="1" t="n">
        <v>0</v>
      </c>
      <c r="B59" s="1" t="n">
        <v>1</v>
      </c>
      <c r="C59" s="1" t="s">
        <v>49</v>
      </c>
      <c r="D59" s="1" t="s">
        <v>49</v>
      </c>
      <c r="E59" s="1" t="s">
        <v>53</v>
      </c>
      <c r="F59" s="1" t="s">
        <v>51</v>
      </c>
      <c r="G59" s="1" t="n">
        <v>-22.4431852</v>
      </c>
      <c r="H59" s="1" t="n">
        <v>-49.7643596</v>
      </c>
      <c r="I59" s="1" t="n">
        <v>-22.227114</v>
      </c>
      <c r="J59" s="1" t="n">
        <v>-49.9359818</v>
      </c>
      <c r="K59" s="1" t="n">
        <v>43.3</v>
      </c>
      <c r="L59" s="1" t="n">
        <v>42.1</v>
      </c>
      <c r="M59" s="1" t="s">
        <v>17</v>
      </c>
      <c r="N59" s="1" t="n">
        <v>0</v>
      </c>
    </row>
    <row r="60" customFormat="false" ht="13.8" hidden="false" customHeight="false" outlineLevel="0" collapsed="false">
      <c r="A60" s="1" t="n">
        <v>0</v>
      </c>
      <c r="B60" s="1" t="n">
        <v>1</v>
      </c>
      <c r="C60" s="1" t="s">
        <v>49</v>
      </c>
      <c r="D60" s="1" t="s">
        <v>49</v>
      </c>
      <c r="E60" s="1" t="s">
        <v>53</v>
      </c>
      <c r="F60" s="1" t="s">
        <v>52</v>
      </c>
      <c r="G60" s="1" t="n">
        <v>-22.4431852</v>
      </c>
      <c r="H60" s="1" t="n">
        <v>-49.7643596</v>
      </c>
      <c r="I60" s="1" t="n">
        <v>-22.224027</v>
      </c>
      <c r="J60" s="1" t="n">
        <v>-49.9472085</v>
      </c>
      <c r="K60" s="1" t="n">
        <v>44.3</v>
      </c>
      <c r="L60" s="1" t="n">
        <v>41.7</v>
      </c>
      <c r="M60" s="1" t="s">
        <v>17</v>
      </c>
      <c r="N60" s="1" t="n">
        <v>0</v>
      </c>
    </row>
    <row r="61" customFormat="false" ht="13.8" hidden="false" customHeight="false" outlineLevel="0" collapsed="false">
      <c r="C61" s="1"/>
    </row>
    <row r="62" customFormat="false" ht="13.8" hidden="false" customHeight="false" outlineLevel="0" collapsed="false">
      <c r="C62" s="1"/>
    </row>
    <row r="63" customFormat="false" ht="13.8" hidden="false" customHeight="false" outlineLevel="0" collapsed="false">
      <c r="A63" s="1" t="n">
        <v>0</v>
      </c>
      <c r="B63" s="1" t="n">
        <v>1</v>
      </c>
      <c r="C63" s="1" t="s">
        <v>49</v>
      </c>
      <c r="D63" s="1" t="s">
        <v>49</v>
      </c>
      <c r="E63" s="1" t="s">
        <v>159</v>
      </c>
      <c r="F63" s="1" t="s">
        <v>51</v>
      </c>
      <c r="G63" s="1" t="n">
        <v>-22.601952</v>
      </c>
      <c r="H63" s="1" t="n">
        <v>-49.998726</v>
      </c>
      <c r="I63" s="1" t="n">
        <v>-22.227114</v>
      </c>
      <c r="J63" s="1" t="n">
        <v>-49.9359818</v>
      </c>
      <c r="K63" s="1" t="n">
        <v>61.8</v>
      </c>
      <c r="L63" s="1" t="n">
        <v>53.9</v>
      </c>
      <c r="M63" s="1" t="s">
        <v>17</v>
      </c>
      <c r="N63" s="1" t="n">
        <v>0</v>
      </c>
    </row>
    <row r="64" customFormat="false" ht="13.8" hidden="false" customHeight="false" outlineLevel="0" collapsed="false">
      <c r="A64" s="1" t="n">
        <v>0</v>
      </c>
      <c r="B64" s="1" t="n">
        <v>1</v>
      </c>
      <c r="C64" s="1" t="s">
        <v>49</v>
      </c>
      <c r="D64" s="1" t="s">
        <v>49</v>
      </c>
      <c r="E64" s="1" t="s">
        <v>159</v>
      </c>
      <c r="F64" s="1" t="s">
        <v>52</v>
      </c>
      <c r="G64" s="1" t="n">
        <v>-22.601952</v>
      </c>
      <c r="H64" s="1" t="n">
        <v>-49.998726</v>
      </c>
      <c r="I64" s="1" t="n">
        <v>-22.224027</v>
      </c>
      <c r="J64" s="1" t="n">
        <v>-49.9472085</v>
      </c>
      <c r="K64" s="1" t="n">
        <v>62.7</v>
      </c>
      <c r="L64" s="1" t="n">
        <v>53.5</v>
      </c>
      <c r="M64" s="1" t="s">
        <v>17</v>
      </c>
      <c r="N64" s="1" t="n">
        <v>0</v>
      </c>
    </row>
    <row r="65" customFormat="false" ht="13.8" hidden="false" customHeight="false" outlineLevel="0" collapsed="false">
      <c r="C65" s="1"/>
    </row>
    <row r="66" customFormat="false" ht="13.8" hidden="false" customHeight="false" outlineLevel="0" collapsed="false">
      <c r="C66" s="1"/>
    </row>
    <row r="67" customFormat="false" ht="13.8" hidden="false" customHeight="false" outlineLevel="0" collapsed="false">
      <c r="A67" s="1" t="n">
        <v>0</v>
      </c>
      <c r="B67" s="1" t="n">
        <v>1</v>
      </c>
      <c r="C67" s="1" t="s">
        <v>49</v>
      </c>
      <c r="D67" s="1" t="s">
        <v>49</v>
      </c>
      <c r="E67" s="1" t="s">
        <v>208</v>
      </c>
      <c r="F67" s="1" t="s">
        <v>51</v>
      </c>
      <c r="G67" s="1" t="n">
        <v>-22.4325855</v>
      </c>
      <c r="H67" s="1" t="n">
        <v>-50.2037693</v>
      </c>
      <c r="I67" s="1" t="n">
        <v>-22.227114</v>
      </c>
      <c r="J67" s="1" t="n">
        <v>-49.9359818</v>
      </c>
      <c r="K67" s="1" t="n">
        <v>41.9</v>
      </c>
      <c r="L67" s="1" t="n">
        <v>38.9</v>
      </c>
      <c r="M67" s="1" t="s">
        <v>17</v>
      </c>
      <c r="N67" s="1" t="n">
        <v>0</v>
      </c>
    </row>
    <row r="68" customFormat="false" ht="13.8" hidden="false" customHeight="false" outlineLevel="0" collapsed="false">
      <c r="A68" s="1" t="n">
        <v>0</v>
      </c>
      <c r="B68" s="1" t="n">
        <v>1</v>
      </c>
      <c r="C68" s="1" t="s">
        <v>49</v>
      </c>
      <c r="D68" s="1" t="s">
        <v>49</v>
      </c>
      <c r="E68" s="1" t="s">
        <v>208</v>
      </c>
      <c r="F68" s="1" t="s">
        <v>52</v>
      </c>
      <c r="G68" s="1" t="n">
        <v>-22.4325855</v>
      </c>
      <c r="H68" s="1" t="n">
        <v>-50.2037693</v>
      </c>
      <c r="I68" s="1" t="n">
        <v>-22.224027</v>
      </c>
      <c r="J68" s="1" t="n">
        <v>-49.9472085</v>
      </c>
      <c r="K68" s="1" t="n">
        <v>41.1</v>
      </c>
      <c r="L68" s="1" t="n">
        <v>38.5</v>
      </c>
      <c r="M68" s="1" t="s">
        <v>17</v>
      </c>
      <c r="N68" s="1" t="n">
        <v>0</v>
      </c>
    </row>
    <row r="69" customFormat="false" ht="13.8" hidden="false" customHeight="false" outlineLevel="0" collapsed="false">
      <c r="C69" s="1"/>
    </row>
    <row r="70" customFormat="false" ht="13.8" hidden="false" customHeight="false" outlineLevel="0" collapsed="false">
      <c r="C70" s="1"/>
    </row>
    <row r="71" customFormat="false" ht="13.8" hidden="false" customHeight="false" outlineLevel="0" collapsed="false">
      <c r="A71" s="1" t="n">
        <v>0</v>
      </c>
      <c r="B71" s="1" t="n">
        <v>1</v>
      </c>
      <c r="C71" s="1" t="s">
        <v>49</v>
      </c>
      <c r="D71" s="1" t="s">
        <v>49</v>
      </c>
      <c r="E71" s="1" t="s">
        <v>224</v>
      </c>
      <c r="F71" s="1" t="s">
        <v>52</v>
      </c>
      <c r="G71" s="1" t="n">
        <v>-22.3595388</v>
      </c>
      <c r="H71" s="1" t="n">
        <v>-49.5209504</v>
      </c>
      <c r="I71" s="1" t="n">
        <v>-22.224027</v>
      </c>
      <c r="J71" s="1" t="n">
        <v>-49.9472085</v>
      </c>
      <c r="K71" s="1" t="n">
        <v>60.3</v>
      </c>
      <c r="L71" s="1" t="n">
        <v>55</v>
      </c>
      <c r="M71" s="1" t="s">
        <v>17</v>
      </c>
      <c r="N71" s="1" t="n">
        <v>0</v>
      </c>
    </row>
    <row r="72" customFormat="false" ht="13.8" hidden="false" customHeight="false" outlineLevel="0" collapsed="false">
      <c r="A72" s="1" t="n">
        <v>0</v>
      </c>
      <c r="B72" s="1" t="n">
        <v>1</v>
      </c>
      <c r="C72" s="1" t="s">
        <v>49</v>
      </c>
      <c r="D72" s="1" t="s">
        <v>49</v>
      </c>
      <c r="E72" s="1" t="s">
        <v>224</v>
      </c>
      <c r="F72" s="1" t="s">
        <v>51</v>
      </c>
      <c r="G72" s="1" t="n">
        <v>-22.3595388</v>
      </c>
      <c r="H72" s="1" t="n">
        <v>-49.5209504</v>
      </c>
      <c r="I72" s="1" t="n">
        <v>-22.227114</v>
      </c>
      <c r="J72" s="1" t="n">
        <v>-49.9359818</v>
      </c>
      <c r="K72" s="1" t="n">
        <v>58.4</v>
      </c>
      <c r="L72" s="1" t="n">
        <v>53.4</v>
      </c>
      <c r="M72" s="1" t="s">
        <v>17</v>
      </c>
      <c r="N72" s="1" t="n">
        <v>0</v>
      </c>
    </row>
    <row r="73" customFormat="false" ht="13.8" hidden="false" customHeight="false" outlineLevel="0" collapsed="false">
      <c r="C73" s="1"/>
    </row>
    <row r="74" customFormat="false" ht="13.8" hidden="false" customHeight="false" outlineLevel="0" collapsed="false">
      <c r="C74" s="1"/>
    </row>
    <row r="75" customFormat="false" ht="13.8" hidden="false" customHeight="false" outlineLevel="0" collapsed="false">
      <c r="A75" s="1" t="n">
        <v>0</v>
      </c>
      <c r="B75" s="1" t="n">
        <v>1</v>
      </c>
      <c r="C75" s="1" t="s">
        <v>49</v>
      </c>
      <c r="D75" s="1" t="s">
        <v>49</v>
      </c>
      <c r="E75" s="1" t="s">
        <v>232</v>
      </c>
      <c r="F75" s="1" t="s">
        <v>52</v>
      </c>
      <c r="G75" s="1" t="n">
        <v>-22.2936976</v>
      </c>
      <c r="H75" s="1" t="n">
        <v>-49.5516228</v>
      </c>
      <c r="I75" s="1" t="n">
        <v>-22.224027</v>
      </c>
      <c r="J75" s="1" t="n">
        <v>-49.9472085</v>
      </c>
      <c r="K75" s="1" t="n">
        <v>52.2</v>
      </c>
      <c r="L75" s="1" t="n">
        <v>42.8</v>
      </c>
      <c r="M75" s="1" t="s">
        <v>17</v>
      </c>
      <c r="N75" s="1" t="n">
        <v>0</v>
      </c>
    </row>
    <row r="76" customFormat="false" ht="13.8" hidden="false" customHeight="false" outlineLevel="0" collapsed="false">
      <c r="A76" s="1" t="n">
        <v>0</v>
      </c>
      <c r="B76" s="1" t="n">
        <v>1</v>
      </c>
      <c r="C76" s="1" t="s">
        <v>49</v>
      </c>
      <c r="D76" s="1" t="s">
        <v>49</v>
      </c>
      <c r="E76" s="1" t="s">
        <v>232</v>
      </c>
      <c r="F76" s="1" t="s">
        <v>51</v>
      </c>
      <c r="G76" s="1" t="n">
        <v>-22.2936976</v>
      </c>
      <c r="H76" s="1" t="n">
        <v>-49.5516228</v>
      </c>
      <c r="I76" s="1" t="n">
        <v>-22.227114</v>
      </c>
      <c r="J76" s="1" t="n">
        <v>-49.9359818</v>
      </c>
      <c r="K76" s="1" t="n">
        <v>50.3</v>
      </c>
      <c r="L76" s="1" t="n">
        <v>41.3</v>
      </c>
      <c r="M76" s="1" t="s">
        <v>17</v>
      </c>
      <c r="N76" s="1" t="n">
        <v>0</v>
      </c>
    </row>
    <row r="77" customFormat="false" ht="13.8" hidden="false" customHeight="false" outlineLevel="0" collapsed="false">
      <c r="C77" s="1"/>
    </row>
    <row r="78" customFormat="false" ht="13.8" hidden="false" customHeight="false" outlineLevel="0" collapsed="false">
      <c r="C78" s="1"/>
    </row>
    <row r="79" customFormat="false" ht="13.8" hidden="false" customHeight="false" outlineLevel="0" collapsed="false">
      <c r="A79" s="1" t="n">
        <v>0</v>
      </c>
      <c r="B79" s="1" t="n">
        <v>1</v>
      </c>
      <c r="C79" s="1" t="s">
        <v>49</v>
      </c>
      <c r="D79" s="1" t="s">
        <v>49</v>
      </c>
      <c r="E79" s="1" t="s">
        <v>233</v>
      </c>
      <c r="F79" s="1" t="s">
        <v>52</v>
      </c>
      <c r="G79" s="1" t="n">
        <v>-22.2125766</v>
      </c>
      <c r="H79" s="1" t="n">
        <v>-49.6547994</v>
      </c>
      <c r="I79" s="1" t="n">
        <v>-22.224027</v>
      </c>
      <c r="J79" s="1" t="n">
        <v>-49.9472085</v>
      </c>
      <c r="K79" s="1" t="n">
        <v>33.4</v>
      </c>
      <c r="L79" s="1" t="n">
        <v>29.6</v>
      </c>
      <c r="M79" s="1" t="s">
        <v>17</v>
      </c>
      <c r="N79" s="1" t="n">
        <v>0</v>
      </c>
    </row>
    <row r="80" customFormat="false" ht="13.8" hidden="false" customHeight="false" outlineLevel="0" collapsed="false">
      <c r="A80" s="1" t="n">
        <v>0</v>
      </c>
      <c r="B80" s="1" t="n">
        <v>1</v>
      </c>
      <c r="C80" s="1" t="s">
        <v>49</v>
      </c>
      <c r="D80" s="1" t="s">
        <v>49</v>
      </c>
      <c r="E80" s="1" t="s">
        <v>233</v>
      </c>
      <c r="F80" s="1" t="s">
        <v>51</v>
      </c>
      <c r="G80" s="1" t="n">
        <v>-22.2125766</v>
      </c>
      <c r="H80" s="1" t="n">
        <v>-49.6547994</v>
      </c>
      <c r="I80" s="1" t="n">
        <v>-22.227114</v>
      </c>
      <c r="J80" s="1" t="n">
        <v>-49.9359818</v>
      </c>
      <c r="K80" s="1" t="n">
        <v>31.5</v>
      </c>
      <c r="L80" s="1" t="n">
        <v>28</v>
      </c>
      <c r="M80" s="1" t="s">
        <v>17</v>
      </c>
      <c r="N80" s="1" t="n">
        <v>0</v>
      </c>
    </row>
    <row r="81" customFormat="false" ht="13.8" hidden="false" customHeight="false" outlineLevel="0" collapsed="false">
      <c r="C81" s="1"/>
    </row>
    <row r="82" customFormat="false" ht="13.8" hidden="false" customHeight="false" outlineLevel="0" collapsed="false">
      <c r="C82" s="1"/>
    </row>
    <row r="83" customFormat="false" ht="13.8" hidden="false" customHeight="false" outlineLevel="0" collapsed="false">
      <c r="A83" s="1" t="n">
        <v>0</v>
      </c>
      <c r="B83" s="1" t="n">
        <v>1</v>
      </c>
      <c r="C83" s="1" t="s">
        <v>49</v>
      </c>
      <c r="D83" s="1" t="s">
        <v>49</v>
      </c>
      <c r="E83" s="1" t="s">
        <v>240</v>
      </c>
      <c r="F83" s="1" t="s">
        <v>51</v>
      </c>
      <c r="G83" s="1" t="n">
        <v>-21.909072</v>
      </c>
      <c r="H83" s="1" t="n">
        <v>-49.89861</v>
      </c>
      <c r="I83" s="1" t="n">
        <v>-22.227114</v>
      </c>
      <c r="J83" s="1" t="n">
        <v>-49.9359818</v>
      </c>
      <c r="K83" s="1" t="n">
        <v>43.8</v>
      </c>
      <c r="L83" s="1" t="n">
        <v>45.2</v>
      </c>
      <c r="M83" s="1" t="s">
        <v>17</v>
      </c>
      <c r="N83" s="1" t="n">
        <v>0.06</v>
      </c>
    </row>
    <row r="84" customFormat="false" ht="13.8" hidden="false" customHeight="false" outlineLevel="0" collapsed="false">
      <c r="A84" s="1" t="n">
        <v>0</v>
      </c>
      <c r="B84" s="1" t="n">
        <v>1</v>
      </c>
      <c r="C84" s="1" t="s">
        <v>49</v>
      </c>
      <c r="D84" s="1" t="s">
        <v>49</v>
      </c>
      <c r="E84" s="1" t="s">
        <v>240</v>
      </c>
      <c r="F84" s="1" t="s">
        <v>52</v>
      </c>
      <c r="G84" s="1" t="n">
        <v>-21.909072</v>
      </c>
      <c r="H84" s="1" t="n">
        <v>-49.89861</v>
      </c>
      <c r="I84" s="1" t="n">
        <v>-22.224027</v>
      </c>
      <c r="J84" s="1" t="n">
        <v>-49.9472085</v>
      </c>
      <c r="K84" s="1" t="n">
        <v>42.4</v>
      </c>
      <c r="L84" s="1" t="n">
        <v>42.8</v>
      </c>
      <c r="M84" s="1" t="s">
        <v>17</v>
      </c>
      <c r="N84" s="1" t="n">
        <v>0</v>
      </c>
    </row>
    <row r="85" customFormat="false" ht="13.8" hidden="false" customHeight="false" outlineLevel="0" collapsed="false">
      <c r="C85" s="1"/>
    </row>
    <row r="86" customFormat="false" ht="13.8" hidden="false" customHeight="false" outlineLevel="0" collapsed="false">
      <c r="C86" s="1"/>
    </row>
    <row r="87" customFormat="false" ht="13.8" hidden="false" customHeight="false" outlineLevel="0" collapsed="false">
      <c r="A87" s="1" t="n">
        <v>0</v>
      </c>
      <c r="B87" s="1" t="n">
        <v>1</v>
      </c>
      <c r="C87" s="1" t="s">
        <v>49</v>
      </c>
      <c r="D87" s="1" t="s">
        <v>49</v>
      </c>
      <c r="E87" s="1" t="s">
        <v>244</v>
      </c>
      <c r="F87" s="1" t="s">
        <v>51</v>
      </c>
      <c r="G87" s="1" t="n">
        <v>-21.8950705</v>
      </c>
      <c r="H87" s="1" t="n">
        <v>-49.590107</v>
      </c>
      <c r="I87" s="1" t="n">
        <v>-22.227114</v>
      </c>
      <c r="J87" s="1" t="n">
        <v>-49.9359818</v>
      </c>
      <c r="K87" s="1" t="n">
        <v>63.4</v>
      </c>
      <c r="L87" s="1" t="n">
        <v>56.3</v>
      </c>
      <c r="M87" s="1" t="s">
        <v>17</v>
      </c>
      <c r="N87" s="1" t="n">
        <v>0.04</v>
      </c>
    </row>
    <row r="88" customFormat="false" ht="13.8" hidden="false" customHeight="false" outlineLevel="0" collapsed="false">
      <c r="A88" s="1" t="n">
        <v>0</v>
      </c>
      <c r="B88" s="1" t="n">
        <v>1</v>
      </c>
      <c r="C88" s="1" t="s">
        <v>49</v>
      </c>
      <c r="D88" s="1" t="s">
        <v>49</v>
      </c>
      <c r="E88" s="1" t="s">
        <v>244</v>
      </c>
      <c r="F88" s="1" t="s">
        <v>52</v>
      </c>
      <c r="G88" s="1" t="n">
        <v>-21.8950705</v>
      </c>
      <c r="H88" s="1" t="n">
        <v>-49.590107</v>
      </c>
      <c r="I88" s="1" t="n">
        <v>-22.224027</v>
      </c>
      <c r="J88" s="1" t="n">
        <v>-49.9472085</v>
      </c>
      <c r="K88" s="1" t="n">
        <v>62.1</v>
      </c>
      <c r="L88" s="1" t="n">
        <v>53.9</v>
      </c>
      <c r="M88" s="1" t="s">
        <v>17</v>
      </c>
      <c r="N88" s="1" t="n">
        <v>0</v>
      </c>
    </row>
    <row r="89" customFormat="false" ht="13.8" hidden="false" customHeight="false" outlineLevel="0" collapsed="false">
      <c r="C89" s="1"/>
    </row>
    <row r="90" customFormat="false" ht="13.8" hidden="false" customHeight="false" outlineLevel="0" collapsed="false">
      <c r="C90" s="1"/>
    </row>
    <row r="91" customFormat="false" ht="13.8" hidden="false" customHeight="false" outlineLevel="0" collapsed="false">
      <c r="A91" s="1" t="n">
        <v>0</v>
      </c>
      <c r="B91" s="1" t="n">
        <v>1</v>
      </c>
      <c r="C91" s="1" t="s">
        <v>49</v>
      </c>
      <c r="D91" s="1" t="s">
        <v>49</v>
      </c>
      <c r="E91" s="1" t="s">
        <v>309</v>
      </c>
      <c r="F91" s="1" t="s">
        <v>51</v>
      </c>
      <c r="G91" s="1" t="n">
        <v>-22.0099839</v>
      </c>
      <c r="H91" s="1" t="n">
        <v>-49.7889446</v>
      </c>
      <c r="I91" s="1" t="n">
        <v>-22.227114</v>
      </c>
      <c r="J91" s="1" t="n">
        <v>-49.9359818</v>
      </c>
      <c r="K91" s="1" t="n">
        <v>37.7</v>
      </c>
      <c r="L91" s="1" t="n">
        <v>37.7</v>
      </c>
      <c r="M91" s="1" t="s">
        <v>17</v>
      </c>
      <c r="N91" s="1" t="n">
        <v>0</v>
      </c>
    </row>
    <row r="92" customFormat="false" ht="13.8" hidden="false" customHeight="false" outlineLevel="0" collapsed="false">
      <c r="A92" s="1" t="n">
        <v>0</v>
      </c>
      <c r="B92" s="1" t="n">
        <v>1</v>
      </c>
      <c r="C92" s="1" t="s">
        <v>49</v>
      </c>
      <c r="D92" s="1" t="s">
        <v>49</v>
      </c>
      <c r="E92" s="1" t="s">
        <v>309</v>
      </c>
      <c r="F92" s="1" t="s">
        <v>52</v>
      </c>
      <c r="G92" s="1" t="n">
        <v>-22.0099839</v>
      </c>
      <c r="H92" s="1" t="n">
        <v>-49.7889446</v>
      </c>
      <c r="I92" s="1" t="n">
        <v>-22.224027</v>
      </c>
      <c r="J92" s="1" t="n">
        <v>-49.9472085</v>
      </c>
      <c r="K92" s="1" t="n">
        <v>36.4</v>
      </c>
      <c r="L92" s="1" t="n">
        <v>35.3</v>
      </c>
      <c r="M92" s="1" t="s">
        <v>17</v>
      </c>
      <c r="N92" s="1" t="n">
        <v>0</v>
      </c>
    </row>
    <row r="93" customFormat="false" ht="13.8" hidden="false" customHeight="false" outlineLevel="0" collapsed="false">
      <c r="C93" s="1"/>
    </row>
    <row r="94" customFormat="false" ht="13.8" hidden="false" customHeight="false" outlineLevel="0" collapsed="false">
      <c r="C94" s="1"/>
    </row>
    <row r="95" customFormat="false" ht="13.8" hidden="false" customHeight="false" outlineLevel="0" collapsed="false">
      <c r="A95" s="1" t="n">
        <v>0</v>
      </c>
      <c r="B95" s="1" t="n">
        <v>1</v>
      </c>
      <c r="C95" s="1" t="s">
        <v>49</v>
      </c>
      <c r="D95" s="1" t="s">
        <v>49</v>
      </c>
      <c r="E95" s="1" t="s">
        <v>322</v>
      </c>
      <c r="F95" s="1" t="s">
        <v>51</v>
      </c>
      <c r="G95" s="1" t="n">
        <v>-22.4145801</v>
      </c>
      <c r="H95" s="1" t="n">
        <v>-49.8183516</v>
      </c>
      <c r="I95" s="1" t="n">
        <v>-22.227114</v>
      </c>
      <c r="J95" s="1" t="n">
        <v>-49.9359818</v>
      </c>
      <c r="K95" s="1" t="n">
        <v>31.2</v>
      </c>
      <c r="L95" s="1" t="n">
        <v>29.3</v>
      </c>
      <c r="M95" s="1" t="s">
        <v>17</v>
      </c>
      <c r="N95" s="1" t="n">
        <v>0</v>
      </c>
    </row>
    <row r="96" customFormat="false" ht="13.8" hidden="false" customHeight="false" outlineLevel="0" collapsed="false">
      <c r="A96" s="1" t="n">
        <v>0</v>
      </c>
      <c r="B96" s="1" t="n">
        <v>1</v>
      </c>
      <c r="C96" s="1" t="s">
        <v>49</v>
      </c>
      <c r="D96" s="1" t="s">
        <v>49</v>
      </c>
      <c r="E96" s="1" t="s">
        <v>322</v>
      </c>
      <c r="F96" s="1" t="s">
        <v>52</v>
      </c>
      <c r="G96" s="1" t="n">
        <v>-22.4145801</v>
      </c>
      <c r="H96" s="1" t="n">
        <v>-49.8183516</v>
      </c>
      <c r="I96" s="1" t="n">
        <v>-22.224027</v>
      </c>
      <c r="J96" s="1" t="n">
        <v>-49.9472085</v>
      </c>
      <c r="K96" s="1" t="n">
        <v>32.2</v>
      </c>
      <c r="L96" s="1" t="n">
        <v>28.9</v>
      </c>
      <c r="M96" s="1" t="s">
        <v>17</v>
      </c>
      <c r="N96" s="1" t="n">
        <v>0</v>
      </c>
    </row>
    <row r="97" customFormat="false" ht="13.8" hidden="false" customHeight="false" outlineLevel="0" collapsed="false">
      <c r="C97" s="1"/>
    </row>
    <row r="98" customFormat="false" ht="13.8" hidden="false" customHeight="false" outlineLevel="0" collapsed="false">
      <c r="C98" s="1"/>
    </row>
    <row r="99" customFormat="false" ht="13.8" hidden="false" customHeight="false" outlineLevel="0" collapsed="false">
      <c r="A99" s="1" t="n">
        <v>0</v>
      </c>
      <c r="B99" s="1" t="n">
        <v>1</v>
      </c>
      <c r="C99" s="1" t="s">
        <v>49</v>
      </c>
      <c r="D99" s="1" t="s">
        <v>49</v>
      </c>
      <c r="E99" s="1" t="s">
        <v>377</v>
      </c>
      <c r="F99" s="1" t="s">
        <v>51</v>
      </c>
      <c r="G99" s="1" t="n">
        <v>-22.4396255</v>
      </c>
      <c r="H99" s="1" t="n">
        <v>-49.9226712</v>
      </c>
      <c r="I99" s="1" t="n">
        <v>-22.227114</v>
      </c>
      <c r="J99" s="1" t="n">
        <v>-49.9359818</v>
      </c>
      <c r="K99" s="1" t="n">
        <v>35.5</v>
      </c>
      <c r="L99" s="1" t="n">
        <v>34.1</v>
      </c>
      <c r="M99" s="1" t="s">
        <v>17</v>
      </c>
      <c r="N99" s="1" t="n">
        <v>0</v>
      </c>
    </row>
    <row r="100" customFormat="false" ht="13.8" hidden="false" customHeight="false" outlineLevel="0" collapsed="false">
      <c r="A100" s="1" t="n">
        <v>0</v>
      </c>
      <c r="B100" s="1" t="n">
        <v>1</v>
      </c>
      <c r="C100" s="1" t="s">
        <v>49</v>
      </c>
      <c r="D100" s="1" t="s">
        <v>49</v>
      </c>
      <c r="E100" s="1" t="s">
        <v>377</v>
      </c>
      <c r="F100" s="1" t="s">
        <v>52</v>
      </c>
      <c r="G100" s="1" t="n">
        <v>-22.4396255</v>
      </c>
      <c r="H100" s="1" t="n">
        <v>-49.9226712</v>
      </c>
      <c r="I100" s="1" t="n">
        <v>-22.224027</v>
      </c>
      <c r="J100" s="1" t="n">
        <v>-49.9472085</v>
      </c>
      <c r="K100" s="1" t="n">
        <v>36.5</v>
      </c>
      <c r="L100" s="1" t="n">
        <v>33.7</v>
      </c>
      <c r="M100" s="1" t="s">
        <v>17</v>
      </c>
      <c r="N100" s="1" t="n">
        <v>0</v>
      </c>
    </row>
    <row r="101" customFormat="false" ht="13.8" hidden="false" customHeight="false" outlineLevel="0" collapsed="false">
      <c r="C101" s="1"/>
    </row>
    <row r="102" customFormat="false" ht="13.8" hidden="false" customHeight="false" outlineLevel="0" collapsed="false">
      <c r="C102" s="1"/>
    </row>
    <row r="103" customFormat="false" ht="13.8" hidden="false" customHeight="false" outlineLevel="0" collapsed="false">
      <c r="A103" s="1" t="n">
        <v>0</v>
      </c>
      <c r="B103" s="1" t="n">
        <v>1</v>
      </c>
      <c r="C103" s="1" t="s">
        <v>49</v>
      </c>
      <c r="D103" s="1" t="s">
        <v>49</v>
      </c>
      <c r="E103" s="1" t="s">
        <v>379</v>
      </c>
      <c r="F103" s="1" t="s">
        <v>51</v>
      </c>
      <c r="G103" s="1" t="n">
        <v>-22.1525442</v>
      </c>
      <c r="H103" s="1" t="n">
        <v>-50.0935645</v>
      </c>
      <c r="I103" s="1" t="n">
        <v>-22.227114</v>
      </c>
      <c r="J103" s="1" t="n">
        <v>-49.9359818</v>
      </c>
      <c r="K103" s="1" t="n">
        <v>21.8</v>
      </c>
      <c r="L103" s="1" t="n">
        <v>21.2</v>
      </c>
      <c r="M103" s="1" t="s">
        <v>17</v>
      </c>
      <c r="N103" s="1" t="n">
        <v>0</v>
      </c>
    </row>
    <row r="104" customFormat="false" ht="13.8" hidden="false" customHeight="false" outlineLevel="0" collapsed="false">
      <c r="A104" s="1" t="n">
        <v>0</v>
      </c>
      <c r="B104" s="1" t="n">
        <v>1</v>
      </c>
      <c r="C104" s="1" t="s">
        <v>49</v>
      </c>
      <c r="D104" s="1" t="s">
        <v>49</v>
      </c>
      <c r="E104" s="1" t="s">
        <v>379</v>
      </c>
      <c r="F104" s="1" t="s">
        <v>52</v>
      </c>
      <c r="G104" s="1" t="n">
        <v>-22.1525442</v>
      </c>
      <c r="H104" s="1" t="n">
        <v>-50.0935645</v>
      </c>
      <c r="I104" s="1" t="n">
        <v>-22.224027</v>
      </c>
      <c r="J104" s="1" t="n">
        <v>-49.9472085</v>
      </c>
      <c r="K104" s="1" t="n">
        <v>20.5</v>
      </c>
      <c r="L104" s="1" t="n">
        <v>18.8</v>
      </c>
      <c r="M104" s="1" t="s">
        <v>17</v>
      </c>
      <c r="N104" s="1" t="n">
        <v>0</v>
      </c>
    </row>
    <row r="105" customFormat="false" ht="13.8" hidden="false" customHeight="false" outlineLevel="0" collapsed="false">
      <c r="C105" s="1"/>
    </row>
    <row r="106" customFormat="false" ht="13.8" hidden="false" customHeight="false" outlineLevel="0" collapsed="false">
      <c r="C106" s="1"/>
    </row>
    <row r="107" customFormat="false" ht="13.8" hidden="false" customHeight="false" outlineLevel="0" collapsed="false">
      <c r="A107" s="1" t="n">
        <v>0</v>
      </c>
      <c r="B107" s="1" t="n">
        <v>1</v>
      </c>
      <c r="C107" s="1" t="s">
        <v>49</v>
      </c>
      <c r="D107" s="1" t="s">
        <v>49</v>
      </c>
      <c r="E107" s="1" t="s">
        <v>381</v>
      </c>
      <c r="F107" s="1" t="s">
        <v>51</v>
      </c>
      <c r="G107" s="1" t="n">
        <v>-22.314874</v>
      </c>
      <c r="H107" s="1" t="n">
        <v>-50.281118</v>
      </c>
      <c r="I107" s="1" t="n">
        <v>-22.227114</v>
      </c>
      <c r="J107" s="1" t="n">
        <v>-49.9359818</v>
      </c>
      <c r="K107" s="1" t="n">
        <v>44.2</v>
      </c>
      <c r="L107" s="1" t="n">
        <v>44.2</v>
      </c>
      <c r="M107" s="1" t="s">
        <v>17</v>
      </c>
      <c r="N107" s="1" t="n">
        <v>0</v>
      </c>
    </row>
    <row r="108" customFormat="false" ht="13.8" hidden="false" customHeight="false" outlineLevel="0" collapsed="false">
      <c r="A108" s="1" t="n">
        <v>0</v>
      </c>
      <c r="B108" s="1" t="n">
        <v>1</v>
      </c>
      <c r="C108" s="1" t="s">
        <v>49</v>
      </c>
      <c r="D108" s="1" t="s">
        <v>49</v>
      </c>
      <c r="E108" s="1" t="s">
        <v>381</v>
      </c>
      <c r="F108" s="1" t="s">
        <v>52</v>
      </c>
      <c r="G108" s="1" t="n">
        <v>-22.314874</v>
      </c>
      <c r="H108" s="1" t="n">
        <v>-50.281118</v>
      </c>
      <c r="I108" s="1" t="n">
        <v>-22.224027</v>
      </c>
      <c r="J108" s="1" t="n">
        <v>-49.9472085</v>
      </c>
      <c r="K108" s="1" t="n">
        <v>43.5</v>
      </c>
      <c r="L108" s="1" t="n">
        <v>43.8</v>
      </c>
      <c r="M108" s="1" t="s">
        <v>17</v>
      </c>
      <c r="N108" s="1" t="n">
        <v>0</v>
      </c>
    </row>
    <row r="109" customFormat="false" ht="13.8" hidden="false" customHeight="false" outlineLevel="0" collapsed="false">
      <c r="C109" s="1"/>
    </row>
    <row r="110" customFormat="false" ht="13.8" hidden="false" customHeight="false" outlineLevel="0" collapsed="false">
      <c r="C110" s="1"/>
    </row>
    <row r="111" customFormat="false" ht="13.8" hidden="false" customHeight="false" outlineLevel="0" collapsed="false">
      <c r="A111" s="1" t="n">
        <v>0</v>
      </c>
      <c r="B111" s="1" t="n">
        <v>1</v>
      </c>
      <c r="C111" s="1" t="s">
        <v>49</v>
      </c>
      <c r="D111" s="1" t="s">
        <v>49</v>
      </c>
      <c r="E111" s="1" t="s">
        <v>425</v>
      </c>
      <c r="F111" s="1" t="s">
        <v>51</v>
      </c>
      <c r="G111" s="1" t="n">
        <v>-22.1088293</v>
      </c>
      <c r="H111" s="1" t="n">
        <v>-50.1720753</v>
      </c>
      <c r="I111" s="1" t="n">
        <v>-22.227114</v>
      </c>
      <c r="J111" s="1" t="n">
        <v>-49.9359818</v>
      </c>
      <c r="K111" s="1" t="n">
        <v>31.5</v>
      </c>
      <c r="L111" s="1" t="n">
        <v>28.3</v>
      </c>
      <c r="M111" s="1" t="s">
        <v>17</v>
      </c>
      <c r="N111" s="1" t="n">
        <v>0</v>
      </c>
    </row>
    <row r="112" customFormat="false" ht="13.8" hidden="false" customHeight="false" outlineLevel="0" collapsed="false">
      <c r="A112" s="1" t="n">
        <v>0</v>
      </c>
      <c r="B112" s="1" t="n">
        <v>1</v>
      </c>
      <c r="C112" s="1" t="s">
        <v>49</v>
      </c>
      <c r="D112" s="1" t="s">
        <v>49</v>
      </c>
      <c r="E112" s="1" t="s">
        <v>425</v>
      </c>
      <c r="F112" s="1" t="s">
        <v>52</v>
      </c>
      <c r="G112" s="1" t="n">
        <v>-22.1088293</v>
      </c>
      <c r="H112" s="1" t="n">
        <v>-50.1720753</v>
      </c>
      <c r="I112" s="1" t="n">
        <v>-22.224027</v>
      </c>
      <c r="J112" s="1" t="n">
        <v>-49.9472085</v>
      </c>
      <c r="K112" s="1" t="n">
        <v>30.2</v>
      </c>
      <c r="L112" s="1" t="n">
        <v>25.9</v>
      </c>
      <c r="M112" s="1" t="s">
        <v>17</v>
      </c>
      <c r="N112" s="1" t="n">
        <v>0</v>
      </c>
    </row>
    <row r="113" customFormat="false" ht="13.8" hidden="false" customHeight="false" outlineLevel="0" collapsed="false">
      <c r="C113" s="1"/>
    </row>
    <row r="114" customFormat="false" ht="13.8" hidden="false" customHeight="false" outlineLevel="0" collapsed="false">
      <c r="C114" s="1"/>
    </row>
    <row r="115" customFormat="false" ht="13.8" hidden="false" customHeight="false" outlineLevel="0" collapsed="false">
      <c r="A115" s="1" t="n">
        <v>0</v>
      </c>
      <c r="B115" s="1" t="n">
        <v>1</v>
      </c>
      <c r="C115" s="1" t="s">
        <v>49</v>
      </c>
      <c r="D115" s="1" t="s">
        <v>49</v>
      </c>
      <c r="E115" s="1" t="s">
        <v>444</v>
      </c>
      <c r="F115" s="1" t="s">
        <v>51</v>
      </c>
      <c r="G115" s="1" t="n">
        <v>-22.0705513</v>
      </c>
      <c r="H115" s="1" t="n">
        <v>-50.308652</v>
      </c>
      <c r="I115" s="1" t="n">
        <v>-22.227114</v>
      </c>
      <c r="J115" s="1" t="n">
        <v>-49.9359818</v>
      </c>
      <c r="K115" s="1" t="n">
        <v>49.3</v>
      </c>
      <c r="L115" s="1" t="n">
        <v>43.1</v>
      </c>
      <c r="M115" s="1" t="s">
        <v>17</v>
      </c>
      <c r="N115" s="1" t="n">
        <v>0.06</v>
      </c>
    </row>
    <row r="116" customFormat="false" ht="13.8" hidden="false" customHeight="false" outlineLevel="0" collapsed="false">
      <c r="A116" s="1" t="n">
        <v>0</v>
      </c>
      <c r="B116" s="1" t="n">
        <v>1</v>
      </c>
      <c r="C116" s="1" t="s">
        <v>49</v>
      </c>
      <c r="D116" s="1" t="s">
        <v>49</v>
      </c>
      <c r="E116" s="1" t="s">
        <v>444</v>
      </c>
      <c r="F116" s="1" t="s">
        <v>52</v>
      </c>
      <c r="G116" s="1" t="n">
        <v>-22.0705513</v>
      </c>
      <c r="H116" s="1" t="n">
        <v>-50.308652</v>
      </c>
      <c r="I116" s="1" t="n">
        <v>-22.224027</v>
      </c>
      <c r="J116" s="1" t="n">
        <v>-49.9472085</v>
      </c>
      <c r="K116" s="1" t="n">
        <v>48</v>
      </c>
      <c r="L116" s="1" t="n">
        <v>40.7</v>
      </c>
      <c r="M116" s="1" t="s">
        <v>17</v>
      </c>
      <c r="N116" s="1" t="n">
        <v>0</v>
      </c>
    </row>
    <row r="117" customFormat="false" ht="13.8" hidden="false" customHeight="false" outlineLevel="0" collapsed="false">
      <c r="C117" s="1"/>
    </row>
    <row r="118" customFormat="false" ht="13.8" hidden="false" customHeight="false" outlineLevel="0" collapsed="false">
      <c r="C118" s="1"/>
    </row>
    <row r="119" customFormat="false" ht="13.8" hidden="false" customHeight="false" outlineLevel="0" collapsed="false">
      <c r="A119" s="1" t="n">
        <v>0</v>
      </c>
      <c r="B119" s="1" t="n">
        <v>1</v>
      </c>
      <c r="C119" s="1" t="s">
        <v>49</v>
      </c>
      <c r="D119" s="1" t="s">
        <v>49</v>
      </c>
      <c r="E119" s="1" t="s">
        <v>563</v>
      </c>
      <c r="F119" s="1" t="s">
        <v>51</v>
      </c>
      <c r="G119" s="1" t="n">
        <v>-22.5261054</v>
      </c>
      <c r="H119" s="1" t="n">
        <v>-49.6635412</v>
      </c>
      <c r="I119" s="1" t="n">
        <v>-22.227114</v>
      </c>
      <c r="J119" s="1" t="n">
        <v>-49.9359818</v>
      </c>
      <c r="K119" s="1" t="n">
        <v>60.8</v>
      </c>
      <c r="L119" s="1" t="n">
        <v>61.7</v>
      </c>
      <c r="M119" s="1" t="s">
        <v>17</v>
      </c>
      <c r="N119" s="1" t="n">
        <v>0</v>
      </c>
    </row>
    <row r="120" customFormat="false" ht="13.8" hidden="false" customHeight="false" outlineLevel="0" collapsed="false">
      <c r="A120" s="1" t="n">
        <v>0</v>
      </c>
      <c r="B120" s="1" t="n">
        <v>1</v>
      </c>
      <c r="C120" s="1" t="s">
        <v>49</v>
      </c>
      <c r="D120" s="1" t="s">
        <v>49</v>
      </c>
      <c r="E120" s="1" t="s">
        <v>563</v>
      </c>
      <c r="F120" s="1" t="s">
        <v>52</v>
      </c>
      <c r="G120" s="1" t="n">
        <v>-22.5261054</v>
      </c>
      <c r="H120" s="1" t="n">
        <v>-49.6635412</v>
      </c>
      <c r="I120" s="1" t="n">
        <v>-22.224027</v>
      </c>
      <c r="J120" s="1" t="n">
        <v>-49.9472085</v>
      </c>
      <c r="K120" s="1" t="n">
        <v>61.8</v>
      </c>
      <c r="L120" s="1" t="n">
        <v>61.3</v>
      </c>
      <c r="M120" s="1" t="s">
        <v>17</v>
      </c>
      <c r="N120" s="1" t="n">
        <v>0</v>
      </c>
    </row>
    <row r="121" customFormat="false" ht="13.8" hidden="false" customHeight="false" outlineLevel="0" collapsed="false">
      <c r="C121" s="1"/>
    </row>
    <row r="122" customFormat="false" ht="13.8" hidden="false" customHeight="false" outlineLevel="0" collapsed="false">
      <c r="C122" s="1"/>
    </row>
    <row r="123" customFormat="false" ht="13.8" hidden="false" customHeight="false" outlineLevel="0" collapsed="false">
      <c r="A123" s="1" t="n">
        <v>0</v>
      </c>
      <c r="B123" s="1" t="n">
        <v>1</v>
      </c>
      <c r="C123" s="1" t="s">
        <v>49</v>
      </c>
      <c r="D123" s="1" t="s">
        <v>49</v>
      </c>
      <c r="E123" s="1" t="s">
        <v>575</v>
      </c>
      <c r="F123" s="1" t="s">
        <v>52</v>
      </c>
      <c r="G123" s="1" t="n">
        <v>-22.2212638</v>
      </c>
      <c r="H123" s="1" t="n">
        <v>-49.8243021</v>
      </c>
      <c r="I123" s="1" t="n">
        <v>-22.224027</v>
      </c>
      <c r="J123" s="1" t="n">
        <v>-49.9472085</v>
      </c>
      <c r="K123" s="1" t="n">
        <v>14.6</v>
      </c>
      <c r="L123" s="1" t="n">
        <v>15.2</v>
      </c>
      <c r="M123" s="1" t="s">
        <v>17</v>
      </c>
      <c r="N123" s="1" t="n">
        <v>0</v>
      </c>
    </row>
    <row r="124" customFormat="false" ht="13.8" hidden="false" customHeight="false" outlineLevel="0" collapsed="false">
      <c r="A124" s="1" t="n">
        <v>0</v>
      </c>
      <c r="B124" s="1" t="n">
        <v>1</v>
      </c>
      <c r="C124" s="1" t="s">
        <v>49</v>
      </c>
      <c r="D124" s="1" t="s">
        <v>49</v>
      </c>
      <c r="E124" s="1" t="s">
        <v>575</v>
      </c>
      <c r="F124" s="1" t="s">
        <v>51</v>
      </c>
      <c r="G124" s="1" t="n">
        <v>-22.2212638</v>
      </c>
      <c r="H124" s="1" t="n">
        <v>-49.8243021</v>
      </c>
      <c r="I124" s="1" t="n">
        <v>-22.227114</v>
      </c>
      <c r="J124" s="1" t="n">
        <v>-49.9359818</v>
      </c>
      <c r="K124" s="1" t="n">
        <v>12.7</v>
      </c>
      <c r="L124" s="1" t="n">
        <v>13.6</v>
      </c>
      <c r="M124" s="1" t="s">
        <v>17</v>
      </c>
      <c r="N12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7" activeCellId="0" sqref="G67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4" min="4" style="1" width="10.14"/>
    <col collapsed="false" customWidth="true" hidden="false" outlineLevel="0" max="5" min="5" style="1" width="19.11"/>
    <col collapsed="false" customWidth="true" hidden="false" outlineLevel="0" max="6" min="6" style="1" width="16.47"/>
    <col collapsed="false" customWidth="true" hidden="false" outlineLevel="0" max="8" min="7" style="1" width="12.28"/>
    <col collapsed="false" customWidth="true" hidden="false" outlineLevel="0" max="9" min="9" style="1" width="17.79"/>
    <col collapsed="false" customWidth="true" hidden="false" outlineLevel="0" max="10" min="10" style="1" width="18.89"/>
    <col collapsed="false" customWidth="true" hidden="false" outlineLevel="0" max="11" min="11" style="1" width="14.37"/>
    <col collapsed="false" customWidth="true" hidden="false" outlineLevel="0" max="12" min="12" style="1" width="16.8"/>
    <col collapsed="false" customWidth="true" hidden="false" outlineLevel="0" max="13" min="13" style="1" width="13.6"/>
    <col collapsed="false" customWidth="true" hidden="false" outlineLevel="0" max="16" min="15" style="1" width="12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583</v>
      </c>
      <c r="O1" s="1" t="s">
        <v>588</v>
      </c>
      <c r="P1" s="1" t="s">
        <v>584</v>
      </c>
      <c r="Q1" s="1" t="s">
        <v>585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s">
        <v>30</v>
      </c>
      <c r="D2" s="1" t="s">
        <v>30</v>
      </c>
      <c r="E2" s="1" t="s">
        <v>31</v>
      </c>
      <c r="F2" s="1" t="s">
        <v>32</v>
      </c>
      <c r="G2" s="1" t="n">
        <v>-22.4719836</v>
      </c>
      <c r="H2" s="1" t="n">
        <v>-48.9884476</v>
      </c>
      <c r="I2" s="1" t="n">
        <v>-22.3088056</v>
      </c>
      <c r="J2" s="1" t="n">
        <v>-49.0897729</v>
      </c>
      <c r="K2" s="1" t="n">
        <v>24.9</v>
      </c>
      <c r="L2" s="1" t="n">
        <v>23</v>
      </c>
      <c r="M2" s="1" t="s">
        <v>17</v>
      </c>
      <c r="N2" s="1" t="n">
        <v>3</v>
      </c>
      <c r="O2" s="1" t="n">
        <f aca="false">N2/N4</f>
        <v>0.230769230769231</v>
      </c>
    </row>
    <row r="3" customFormat="false" ht="13.8" hidden="false" customHeight="false" outlineLevel="0" collapsed="false">
      <c r="A3" s="1" t="n">
        <v>0</v>
      </c>
      <c r="B3" s="1" t="n">
        <v>1</v>
      </c>
      <c r="C3" s="1" t="s">
        <v>30</v>
      </c>
      <c r="D3" s="1" t="s">
        <v>30</v>
      </c>
      <c r="E3" s="1" t="s">
        <v>31</v>
      </c>
      <c r="F3" s="1" t="s">
        <v>33</v>
      </c>
      <c r="G3" s="1" t="n">
        <v>-22.4719836</v>
      </c>
      <c r="H3" s="1" t="n">
        <v>-48.9884476</v>
      </c>
      <c r="I3" s="1" t="n">
        <v>-22.3305675</v>
      </c>
      <c r="J3" s="1" t="n">
        <v>-49.0775289</v>
      </c>
      <c r="K3" s="1" t="n">
        <v>21.4</v>
      </c>
      <c r="L3" s="1" t="n">
        <v>18.6</v>
      </c>
      <c r="M3" s="1" t="s">
        <v>17</v>
      </c>
      <c r="N3" s="1" t="n">
        <v>10</v>
      </c>
      <c r="O3" s="1" t="n">
        <f aca="false">N3/N4</f>
        <v>0.769230769230769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s">
        <v>30</v>
      </c>
      <c r="D4" s="1" t="s">
        <v>30</v>
      </c>
      <c r="E4" s="1" t="s">
        <v>31</v>
      </c>
      <c r="F4" s="1" t="s">
        <v>586</v>
      </c>
      <c r="N4" s="1" t="n">
        <f aca="false">SUM(N2:N3)</f>
        <v>13</v>
      </c>
      <c r="P4" s="1" t="n">
        <f aca="false">(O2*L2)+(O3*L3)</f>
        <v>19.6153846153846</v>
      </c>
      <c r="Q4" s="2" t="n">
        <f aca="false">(O2*K2)+(O3*K3)</f>
        <v>22.2076923076923</v>
      </c>
    </row>
    <row r="5" customFormat="false" ht="13.8" hidden="false" customHeight="false" outlineLevel="0" collapsed="false">
      <c r="C5" s="1"/>
    </row>
    <row r="6" customFormat="false" ht="13.8" hidden="false" customHeight="false" outlineLevel="0" collapsed="false">
      <c r="A6" s="1" t="n">
        <v>0</v>
      </c>
      <c r="B6" s="1" t="n">
        <v>1</v>
      </c>
      <c r="C6" s="1" t="s">
        <v>30</v>
      </c>
      <c r="D6" s="1" t="s">
        <v>30</v>
      </c>
      <c r="E6" s="1" t="s">
        <v>76</v>
      </c>
      <c r="F6" s="1" t="s">
        <v>32</v>
      </c>
      <c r="G6" s="1" t="n">
        <v>-22.0301906</v>
      </c>
      <c r="H6" s="1" t="n">
        <v>-48.9111936</v>
      </c>
      <c r="I6" s="1" t="n">
        <v>-22.3305675</v>
      </c>
      <c r="J6" s="1" t="n">
        <v>-49.0775289</v>
      </c>
      <c r="K6" s="1" t="n">
        <v>44.8</v>
      </c>
      <c r="L6" s="1" t="n">
        <v>40.4</v>
      </c>
      <c r="M6" s="1" t="s">
        <v>17</v>
      </c>
      <c r="N6" s="1" t="n">
        <v>12</v>
      </c>
      <c r="O6" s="1" t="n">
        <f aca="false">N6/N8</f>
        <v>0.203389830508475</v>
      </c>
    </row>
    <row r="7" customFormat="false" ht="13.8" hidden="false" customHeight="false" outlineLevel="0" collapsed="false">
      <c r="A7" s="1" t="n">
        <v>0</v>
      </c>
      <c r="B7" s="1" t="n">
        <v>1</v>
      </c>
      <c r="C7" s="1" t="s">
        <v>30</v>
      </c>
      <c r="D7" s="1" t="s">
        <v>30</v>
      </c>
      <c r="E7" s="1" t="s">
        <v>76</v>
      </c>
      <c r="F7" s="1" t="s">
        <v>33</v>
      </c>
      <c r="G7" s="1" t="n">
        <v>-22.0301906</v>
      </c>
      <c r="H7" s="1" t="n">
        <v>-48.9111936</v>
      </c>
      <c r="I7" s="1" t="n">
        <v>-22.3088056</v>
      </c>
      <c r="J7" s="1" t="n">
        <v>-49.0897729</v>
      </c>
      <c r="K7" s="1" t="n">
        <v>43.3</v>
      </c>
      <c r="L7" s="1" t="n">
        <v>38.4</v>
      </c>
      <c r="M7" s="1" t="s">
        <v>17</v>
      </c>
      <c r="N7" s="1" t="n">
        <v>47</v>
      </c>
      <c r="O7" s="1" t="n">
        <f aca="false">N7/N8</f>
        <v>0.796610169491525</v>
      </c>
    </row>
    <row r="8" customFormat="false" ht="13.8" hidden="false" customHeight="false" outlineLevel="0" collapsed="false">
      <c r="A8" s="1" t="n">
        <f aca="false">A7</f>
        <v>0</v>
      </c>
      <c r="B8" s="1" t="n">
        <f aca="false">B7</f>
        <v>1</v>
      </c>
      <c r="C8" s="1" t="str">
        <f aca="false">C7</f>
        <v>BAURU</v>
      </c>
      <c r="D8" s="1" t="str">
        <f aca="false">D7</f>
        <v>BAURU</v>
      </c>
      <c r="E8" s="1" t="str">
        <f aca="false">E7</f>
        <v>AREALVA</v>
      </c>
      <c r="F8" s="1" t="s">
        <v>586</v>
      </c>
      <c r="N8" s="1" t="n">
        <f aca="false">SUM(N6:N7)</f>
        <v>59</v>
      </c>
      <c r="P8" s="1" t="n">
        <f aca="false">(O6*L6)+(O7*L7)</f>
        <v>38.806779661017</v>
      </c>
      <c r="Q8" s="2" t="n">
        <f aca="false">(O6*K6)+(O7*K7)</f>
        <v>43.6050847457627</v>
      </c>
    </row>
    <row r="9" customFormat="false" ht="13.8" hidden="false" customHeight="false" outlineLevel="0" collapsed="false">
      <c r="C9" s="1"/>
    </row>
    <row r="10" customFormat="false" ht="13.8" hidden="false" customHeight="false" outlineLevel="0" collapsed="false">
      <c r="A10" s="1" t="n">
        <v>0</v>
      </c>
      <c r="B10" s="1" t="n">
        <v>1</v>
      </c>
      <c r="C10" s="1" t="s">
        <v>30</v>
      </c>
      <c r="D10" s="1" t="s">
        <v>30</v>
      </c>
      <c r="E10" s="1" t="s">
        <v>88</v>
      </c>
      <c r="F10" s="1" t="s">
        <v>32</v>
      </c>
      <c r="G10" s="1" t="n">
        <v>-22.1564662</v>
      </c>
      <c r="H10" s="1" t="n">
        <v>-49.3316395</v>
      </c>
      <c r="I10" s="1" t="n">
        <v>-22.3305675</v>
      </c>
      <c r="J10" s="1" t="n">
        <v>-49.0775289</v>
      </c>
      <c r="K10" s="1" t="n">
        <v>43.3</v>
      </c>
      <c r="L10" s="1" t="n">
        <v>35.7</v>
      </c>
      <c r="M10" s="1" t="s">
        <v>17</v>
      </c>
      <c r="N10" s="1" t="n">
        <v>8</v>
      </c>
      <c r="O10" s="1" t="n">
        <f aca="false">N10/N12</f>
        <v>0.307692307692308</v>
      </c>
    </row>
    <row r="11" customFormat="false" ht="13.8" hidden="false" customHeight="false" outlineLevel="0" collapsed="false">
      <c r="A11" s="1" t="n">
        <v>0</v>
      </c>
      <c r="B11" s="1" t="n">
        <v>1</v>
      </c>
      <c r="C11" s="1" t="s">
        <v>30</v>
      </c>
      <c r="D11" s="1" t="s">
        <v>30</v>
      </c>
      <c r="E11" s="1" t="s">
        <v>88</v>
      </c>
      <c r="F11" s="1" t="s">
        <v>33</v>
      </c>
      <c r="G11" s="1" t="n">
        <v>-22.1564662</v>
      </c>
      <c r="H11" s="1" t="n">
        <v>-49.3316395</v>
      </c>
      <c r="I11" s="1" t="n">
        <v>-22.3088056</v>
      </c>
      <c r="J11" s="1" t="n">
        <v>-49.0897729</v>
      </c>
      <c r="K11" s="1" t="n">
        <v>39.4</v>
      </c>
      <c r="L11" s="1" t="n">
        <v>33.1</v>
      </c>
      <c r="M11" s="1" t="s">
        <v>17</v>
      </c>
      <c r="N11" s="1" t="n">
        <v>18</v>
      </c>
      <c r="O11" s="1" t="n">
        <f aca="false">N11/N12</f>
        <v>0.692307692307692</v>
      </c>
    </row>
    <row r="12" customFormat="false" ht="13.8" hidden="false" customHeight="false" outlineLevel="0" collapsed="false">
      <c r="A12" s="1" t="n">
        <f aca="false">A11</f>
        <v>0</v>
      </c>
      <c r="B12" s="1" t="n">
        <f aca="false">B11</f>
        <v>1</v>
      </c>
      <c r="C12" s="1" t="str">
        <f aca="false">C11</f>
        <v>BAURU</v>
      </c>
      <c r="D12" s="1" t="str">
        <f aca="false">D11</f>
        <v>BAURU</v>
      </c>
      <c r="E12" s="1" t="str">
        <f aca="false">E11</f>
        <v>AVAI</v>
      </c>
      <c r="F12" s="1" t="s">
        <v>586</v>
      </c>
      <c r="N12" s="1" t="n">
        <f aca="false">SUM(N10:N11)</f>
        <v>26</v>
      </c>
      <c r="P12" s="1" t="n">
        <f aca="false">(O10*L10)+(O11*L11)</f>
        <v>33.9</v>
      </c>
      <c r="Q12" s="2" t="n">
        <f aca="false">(O10*K10)+(O11*K11)</f>
        <v>40.6</v>
      </c>
    </row>
    <row r="13" customFormat="false" ht="13.8" hidden="false" customHeight="false" outlineLevel="0" collapsed="false">
      <c r="C13" s="1"/>
    </row>
    <row r="14" customFormat="false" ht="13.8" hidden="false" customHeight="false" outlineLevel="0" collapsed="false">
      <c r="A14" s="1" t="n">
        <v>0</v>
      </c>
      <c r="B14" s="1" t="n">
        <v>1</v>
      </c>
      <c r="C14" s="1" t="s">
        <v>30</v>
      </c>
      <c r="D14" s="1" t="s">
        <v>30</v>
      </c>
      <c r="E14" s="1" t="s">
        <v>257</v>
      </c>
      <c r="F14" s="1" t="s">
        <v>32</v>
      </c>
      <c r="G14" s="1" t="n">
        <v>-21.8928341</v>
      </c>
      <c r="H14" s="1" t="n">
        <v>-49.0226082</v>
      </c>
      <c r="I14" s="1" t="n">
        <v>-22.3305675</v>
      </c>
      <c r="J14" s="1" t="n">
        <v>-49.0775289</v>
      </c>
      <c r="K14" s="1" t="n">
        <v>52.2</v>
      </c>
      <c r="L14" s="1" t="n">
        <v>42.5</v>
      </c>
      <c r="M14" s="1" t="s">
        <v>17</v>
      </c>
      <c r="N14" s="1" t="n">
        <v>4</v>
      </c>
      <c r="O14" s="1" t="n">
        <f aca="false">N14/N16</f>
        <v>0.121212121212121</v>
      </c>
    </row>
    <row r="15" customFormat="false" ht="13.8" hidden="false" customHeight="false" outlineLevel="0" collapsed="false">
      <c r="A15" s="1" t="n">
        <v>0</v>
      </c>
      <c r="B15" s="1" t="n">
        <v>1</v>
      </c>
      <c r="C15" s="1" t="s">
        <v>30</v>
      </c>
      <c r="D15" s="1" t="s">
        <v>30</v>
      </c>
      <c r="E15" s="1" t="s">
        <v>257</v>
      </c>
      <c r="F15" s="1" t="s">
        <v>33</v>
      </c>
      <c r="G15" s="1" t="n">
        <v>-21.8928341</v>
      </c>
      <c r="H15" s="1" t="n">
        <v>-49.0226082</v>
      </c>
      <c r="I15" s="1" t="n">
        <v>-22.3088056</v>
      </c>
      <c r="J15" s="1" t="n">
        <v>-49.0897729</v>
      </c>
      <c r="K15" s="1" t="n">
        <v>50.6</v>
      </c>
      <c r="L15" s="1" t="n">
        <v>40.5</v>
      </c>
      <c r="M15" s="1" t="s">
        <v>17</v>
      </c>
      <c r="N15" s="1" t="n">
        <v>29</v>
      </c>
      <c r="O15" s="1" t="n">
        <f aca="false">N15/N16</f>
        <v>0.878787878787879</v>
      </c>
    </row>
    <row r="16" customFormat="false" ht="13.8" hidden="false" customHeight="false" outlineLevel="0" collapsed="false">
      <c r="A16" s="1" t="n">
        <f aca="false">A15</f>
        <v>0</v>
      </c>
      <c r="B16" s="1" t="n">
        <f aca="false">B15</f>
        <v>1</v>
      </c>
      <c r="C16" s="1" t="str">
        <f aca="false">C15</f>
        <v>BAURU</v>
      </c>
      <c r="D16" s="1" t="str">
        <f aca="false">D15</f>
        <v>BAURU</v>
      </c>
      <c r="E16" s="1" t="str">
        <f aca="false">E15</f>
        <v>IACANGA</v>
      </c>
      <c r="F16" s="1" t="s">
        <v>586</v>
      </c>
      <c r="N16" s="1" t="n">
        <f aca="false">SUM(N14:N15)</f>
        <v>33</v>
      </c>
      <c r="P16" s="1" t="n">
        <f aca="false">(O14*L14)+(O15*L15)</f>
        <v>40.7424242424242</v>
      </c>
      <c r="Q16" s="2" t="n">
        <f aca="false">(O14*K14)+(O15*K15)</f>
        <v>50.7939393939394</v>
      </c>
    </row>
    <row r="17" customFormat="false" ht="13.8" hidden="false" customHeight="false" outlineLevel="0" collapsed="false">
      <c r="C17" s="1"/>
    </row>
    <row r="18" customFormat="false" ht="13.8" hidden="false" customHeight="false" outlineLevel="0" collapsed="false">
      <c r="A18" s="1" t="n">
        <v>0</v>
      </c>
      <c r="B18" s="1" t="n">
        <v>1</v>
      </c>
      <c r="C18" s="1" t="s">
        <v>30</v>
      </c>
      <c r="D18" s="1" t="s">
        <v>30</v>
      </c>
      <c r="E18" s="1" t="s">
        <v>587</v>
      </c>
      <c r="F18" s="1" t="s">
        <v>32</v>
      </c>
      <c r="G18" s="1" t="n">
        <v>-23.4346441</v>
      </c>
      <c r="H18" s="1" t="n">
        <v>-46.5157181</v>
      </c>
      <c r="I18" s="1" t="n">
        <v>-22.3088056</v>
      </c>
      <c r="J18" s="1" t="n">
        <v>-49.0897729</v>
      </c>
      <c r="K18" s="1" t="n">
        <v>36.2</v>
      </c>
      <c r="L18" s="1" t="n">
        <v>37</v>
      </c>
      <c r="M18" s="1" t="s">
        <v>38</v>
      </c>
      <c r="N18" s="1" t="n">
        <v>3</v>
      </c>
      <c r="O18" s="1" t="n">
        <f aca="false">N18/N20</f>
        <v>0.0731707317073171</v>
      </c>
    </row>
    <row r="19" customFormat="false" ht="13.8" hidden="false" customHeight="false" outlineLevel="0" collapsed="false">
      <c r="A19" s="1" t="n">
        <v>0</v>
      </c>
      <c r="B19" s="1" t="n">
        <v>1</v>
      </c>
      <c r="C19" s="1" t="s">
        <v>30</v>
      </c>
      <c r="D19" s="1" t="s">
        <v>30</v>
      </c>
      <c r="E19" s="1" t="s">
        <v>587</v>
      </c>
      <c r="F19" s="1" t="s">
        <v>33</v>
      </c>
      <c r="G19" s="1" t="n">
        <v>-23.4346441</v>
      </c>
      <c r="H19" s="1" t="n">
        <v>-46.5157181</v>
      </c>
      <c r="I19" s="1" t="n">
        <v>-22.3088056</v>
      </c>
      <c r="J19" s="1" t="n">
        <v>-49.0897729</v>
      </c>
      <c r="K19" s="1" t="n">
        <v>34</v>
      </c>
      <c r="L19" s="1" t="n">
        <v>35</v>
      </c>
      <c r="M19" s="1" t="s">
        <v>38</v>
      </c>
      <c r="N19" s="1" t="n">
        <v>38</v>
      </c>
      <c r="O19" s="1" t="n">
        <f aca="false">N19/N20</f>
        <v>0.926829268292683</v>
      </c>
    </row>
    <row r="20" customFormat="false" ht="13.8" hidden="false" customHeight="false" outlineLevel="0" collapsed="false">
      <c r="A20" s="1" t="n">
        <f aca="false">A19</f>
        <v>0</v>
      </c>
      <c r="B20" s="1" t="n">
        <f aca="false">B19</f>
        <v>1</v>
      </c>
      <c r="C20" s="1" t="str">
        <f aca="false">C19</f>
        <v>BAURU</v>
      </c>
      <c r="D20" s="1" t="str">
        <f aca="false">D19</f>
        <v>BAURU</v>
      </c>
      <c r="E20" s="1" t="str">
        <f aca="false">E19</f>
        <v>PEDERNEIRAS</v>
      </c>
      <c r="F20" s="1" t="s">
        <v>586</v>
      </c>
      <c r="N20" s="1" t="n">
        <f aca="false">SUM(N18:N19)</f>
        <v>41</v>
      </c>
      <c r="P20" s="1" t="n">
        <f aca="false">(O18*L18)+(O19*L19)</f>
        <v>35.1463414634146</v>
      </c>
      <c r="Q20" s="2" t="n">
        <f aca="false">(O18*K18)+(O19*K19)</f>
        <v>34.1609756097561</v>
      </c>
    </row>
    <row r="21" customFormat="false" ht="13.8" hidden="false" customHeight="false" outlineLevel="0" collapsed="false">
      <c r="C21" s="1"/>
    </row>
    <row r="22" customFormat="false" ht="13.8" hidden="false" customHeight="false" outlineLevel="0" collapsed="false">
      <c r="A22" s="1" t="n">
        <v>0</v>
      </c>
      <c r="B22" s="1" t="n">
        <v>1</v>
      </c>
      <c r="C22" s="1" t="s">
        <v>30</v>
      </c>
      <c r="D22" s="1" t="s">
        <v>30</v>
      </c>
      <c r="E22" s="1" t="s">
        <v>419</v>
      </c>
      <c r="F22" s="1" t="s">
        <v>32</v>
      </c>
      <c r="G22" s="1" t="n">
        <v>-22.4136363</v>
      </c>
      <c r="H22" s="1" t="n">
        <v>-49.1351479</v>
      </c>
      <c r="I22" s="1" t="n">
        <v>-22.3088056</v>
      </c>
      <c r="J22" s="1" t="n">
        <v>-49.0897729</v>
      </c>
      <c r="K22" s="1" t="n">
        <v>15.2</v>
      </c>
      <c r="L22" s="1" t="n">
        <v>21.2</v>
      </c>
      <c r="M22" s="1" t="s">
        <v>17</v>
      </c>
      <c r="N22" s="1" t="n">
        <v>2</v>
      </c>
      <c r="O22" s="1" t="n">
        <f aca="false">N22/N24</f>
        <v>0.25</v>
      </c>
    </row>
    <row r="23" customFormat="false" ht="13.8" hidden="false" customHeight="false" outlineLevel="0" collapsed="false">
      <c r="A23" s="1" t="n">
        <v>0</v>
      </c>
      <c r="B23" s="1" t="n">
        <v>1</v>
      </c>
      <c r="C23" s="1" t="s">
        <v>30</v>
      </c>
      <c r="D23" s="1" t="s">
        <v>30</v>
      </c>
      <c r="E23" s="1" t="s">
        <v>419</v>
      </c>
      <c r="F23" s="1" t="s">
        <v>33</v>
      </c>
      <c r="G23" s="1" t="n">
        <v>-22.4136363</v>
      </c>
      <c r="H23" s="1" t="n">
        <v>-49.1351479</v>
      </c>
      <c r="I23" s="1" t="n">
        <v>-22.3305675</v>
      </c>
      <c r="J23" s="1" t="n">
        <v>-49.0775289</v>
      </c>
      <c r="K23" s="1" t="n">
        <v>12.4</v>
      </c>
      <c r="L23" s="1" t="n">
        <v>15.7</v>
      </c>
      <c r="M23" s="1" t="s">
        <v>17</v>
      </c>
      <c r="N23" s="1" t="n">
        <v>6</v>
      </c>
      <c r="O23" s="1" t="n">
        <f aca="false">N23/N24</f>
        <v>0.75</v>
      </c>
    </row>
    <row r="24" customFormat="false" ht="13.8" hidden="false" customHeight="false" outlineLevel="0" collapsed="false">
      <c r="A24" s="1" t="n">
        <f aca="false">A23</f>
        <v>0</v>
      </c>
      <c r="B24" s="1" t="n">
        <f aca="false">B23</f>
        <v>1</v>
      </c>
      <c r="C24" s="1" t="str">
        <f aca="false">C23</f>
        <v>BAURU</v>
      </c>
      <c r="D24" s="1" t="str">
        <f aca="false">D23</f>
        <v>BAURU</v>
      </c>
      <c r="E24" s="1" t="str">
        <f aca="false">E23</f>
        <v>PIRATININGA</v>
      </c>
      <c r="F24" s="1" t="s">
        <v>586</v>
      </c>
      <c r="N24" s="1" t="n">
        <f aca="false">SUM(N22:N23)</f>
        <v>8</v>
      </c>
      <c r="P24" s="1" t="n">
        <f aca="false">(O22*L22)+(O23*L23)</f>
        <v>17.075</v>
      </c>
      <c r="Q24" s="2" t="n">
        <f aca="false">(O22*K22)+(O23*K23)</f>
        <v>13.1</v>
      </c>
    </row>
    <row r="27" customFormat="false" ht="13.8" hidden="false" customHeight="false" outlineLevel="0" collapsed="false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</row>
    <row r="28" customFormat="false" ht="13.8" hidden="false" customHeight="false" outlineLevel="0" collapsed="false">
      <c r="A28" s="1" t="n">
        <v>0</v>
      </c>
      <c r="B28" s="1" t="n">
        <v>1</v>
      </c>
      <c r="C28" s="1" t="s">
        <v>82</v>
      </c>
      <c r="D28" s="1" t="s">
        <v>143</v>
      </c>
      <c r="E28" s="1" t="s">
        <v>144</v>
      </c>
      <c r="F28" s="1" t="s">
        <v>145</v>
      </c>
      <c r="G28" s="1" t="n">
        <v>-23.3076663</v>
      </c>
      <c r="H28" s="1" t="n">
        <v>-47.1324726</v>
      </c>
      <c r="I28" s="1" t="n">
        <v>-23.1838628</v>
      </c>
      <c r="J28" s="1" t="n">
        <v>-46.8899187</v>
      </c>
      <c r="K28" s="1" t="n">
        <v>36</v>
      </c>
      <c r="L28" s="1" t="n">
        <v>33.3</v>
      </c>
      <c r="M28" s="1" t="s">
        <v>17</v>
      </c>
      <c r="N28" s="1" t="n">
        <v>9</v>
      </c>
      <c r="O28" s="1" t="n">
        <f aca="false">N28/N30</f>
        <v>0.9</v>
      </c>
    </row>
    <row r="29" customFormat="false" ht="13.8" hidden="false" customHeight="false" outlineLevel="0" collapsed="false">
      <c r="A29" s="1" t="n">
        <v>0</v>
      </c>
      <c r="B29" s="1" t="n">
        <v>1</v>
      </c>
      <c r="C29" s="1" t="s">
        <v>82</v>
      </c>
      <c r="D29" s="1" t="s">
        <v>143</v>
      </c>
      <c r="E29" s="1" t="s">
        <v>144</v>
      </c>
      <c r="F29" s="1" t="s">
        <v>146</v>
      </c>
      <c r="G29" s="1" t="n">
        <v>-23.3076663</v>
      </c>
      <c r="H29" s="1" t="n">
        <v>-47.1324726</v>
      </c>
      <c r="I29" s="1" t="n">
        <v>-23.205120222563</v>
      </c>
      <c r="J29" s="1" t="n">
        <v>-46.8921294032143</v>
      </c>
      <c r="K29" s="1" t="n">
        <v>36.2</v>
      </c>
      <c r="L29" s="1" t="n">
        <v>32.9</v>
      </c>
      <c r="M29" s="1" t="s">
        <v>17</v>
      </c>
      <c r="N29" s="1" t="n">
        <v>1</v>
      </c>
      <c r="O29" s="1" t="n">
        <f aca="false">N29/N30</f>
        <v>0.1</v>
      </c>
    </row>
    <row r="30" customFormat="false" ht="13.8" hidden="false" customHeight="false" outlineLevel="0" collapsed="false">
      <c r="A30" s="1" t="n">
        <f aca="false">A29</f>
        <v>0</v>
      </c>
      <c r="B30" s="1" t="n">
        <f aca="false">B29</f>
        <v>1</v>
      </c>
      <c r="C30" s="1" t="str">
        <f aca="false">C29</f>
        <v>CAMPINAS</v>
      </c>
      <c r="D30" s="1" t="str">
        <f aca="false">D29</f>
        <v>JUNDIAI</v>
      </c>
      <c r="E30" s="1" t="str">
        <f aca="false">E29</f>
        <v>CABREUVA</v>
      </c>
      <c r="F30" s="1" t="s">
        <v>586</v>
      </c>
      <c r="N30" s="1" t="n">
        <f aca="false">SUM(N28:N29)</f>
        <v>10</v>
      </c>
      <c r="P30" s="1" t="n">
        <f aca="false">(O28*L28)+(O29*L29)</f>
        <v>33.26</v>
      </c>
      <c r="Q30" s="2" t="n">
        <f aca="false">(O28*K28)+(O29*K29)</f>
        <v>36.02</v>
      </c>
    </row>
    <row r="31" customFormat="false" ht="13.8" hidden="false" customHeight="false" outlineLevel="0" collapsed="false">
      <c r="C31" s="1"/>
    </row>
    <row r="32" customFormat="false" ht="13.8" hidden="false" customHeight="false" outlineLevel="0" collapsed="false">
      <c r="A32" s="1" t="n">
        <v>0</v>
      </c>
      <c r="B32" s="1" t="n">
        <v>1</v>
      </c>
      <c r="C32" s="1" t="s">
        <v>82</v>
      </c>
      <c r="D32" s="1" t="s">
        <v>143</v>
      </c>
      <c r="E32" s="1" t="s">
        <v>158</v>
      </c>
      <c r="F32" s="1" t="s">
        <v>146</v>
      </c>
      <c r="G32" s="1" t="n">
        <v>-23.207791</v>
      </c>
      <c r="H32" s="1" t="n">
        <v>-46.788919</v>
      </c>
      <c r="I32" s="1" t="n">
        <v>-23.205120222563</v>
      </c>
      <c r="J32" s="1" t="n">
        <v>-46.8921294032143</v>
      </c>
      <c r="K32" s="1" t="n">
        <v>13.7</v>
      </c>
      <c r="L32" s="1" t="n">
        <v>19.9</v>
      </c>
      <c r="M32" s="1" t="s">
        <v>17</v>
      </c>
      <c r="N32" s="1" t="n">
        <v>3</v>
      </c>
      <c r="O32" s="1" t="n">
        <f aca="false">N32/N34</f>
        <v>0.0714285714285714</v>
      </c>
    </row>
    <row r="33" customFormat="false" ht="13.8" hidden="false" customHeight="false" outlineLevel="0" collapsed="false">
      <c r="A33" s="1" t="n">
        <v>0</v>
      </c>
      <c r="B33" s="1" t="n">
        <v>1</v>
      </c>
      <c r="C33" s="1" t="s">
        <v>82</v>
      </c>
      <c r="D33" s="1" t="s">
        <v>143</v>
      </c>
      <c r="E33" s="1" t="s">
        <v>158</v>
      </c>
      <c r="F33" s="1" t="s">
        <v>145</v>
      </c>
      <c r="G33" s="1" t="n">
        <v>-23.207791</v>
      </c>
      <c r="H33" s="1" t="n">
        <v>-46.788919</v>
      </c>
      <c r="I33" s="1" t="n">
        <v>-23.1838628</v>
      </c>
      <c r="J33" s="1" t="n">
        <v>-46.8899187</v>
      </c>
      <c r="K33" s="1" t="n">
        <v>14.2</v>
      </c>
      <c r="L33" s="1" t="n">
        <v>18.6</v>
      </c>
      <c r="M33" s="1" t="s">
        <v>17</v>
      </c>
      <c r="N33" s="1" t="n">
        <v>39</v>
      </c>
      <c r="O33" s="1" t="n">
        <f aca="false">N33/N34</f>
        <v>0.928571428571429</v>
      </c>
    </row>
    <row r="34" customFormat="false" ht="13.8" hidden="false" customHeight="false" outlineLevel="0" collapsed="false">
      <c r="A34" s="1" t="n">
        <f aca="false">A33</f>
        <v>0</v>
      </c>
      <c r="B34" s="1" t="n">
        <f aca="false">B33</f>
        <v>1</v>
      </c>
      <c r="C34" s="1" t="str">
        <f aca="false">C33</f>
        <v>CAMPINAS</v>
      </c>
      <c r="D34" s="1" t="str">
        <f aca="false">D33</f>
        <v>JUNDIAI</v>
      </c>
      <c r="E34" s="1" t="str">
        <f aca="false">E33</f>
        <v>CAMPO LIMPO PAULISTA</v>
      </c>
      <c r="F34" s="1" t="s">
        <v>586</v>
      </c>
      <c r="N34" s="1" t="n">
        <f aca="false">SUM(N32:N33)</f>
        <v>42</v>
      </c>
      <c r="P34" s="1" t="n">
        <f aca="false">(O32*L32)+(O33*L33)</f>
        <v>18.6928571428571</v>
      </c>
      <c r="Q34" s="2" t="n">
        <f aca="false">(O32*K32)+(O33*K33)</f>
        <v>14.1642857142857</v>
      </c>
    </row>
    <row r="35" customFormat="false" ht="13.8" hidden="false" customHeight="false" outlineLevel="0" collapsed="false">
      <c r="C35" s="1"/>
    </row>
    <row r="36" customFormat="false" ht="13.8" hidden="false" customHeight="false" outlineLevel="0" collapsed="false">
      <c r="A36" s="1" t="n">
        <v>0</v>
      </c>
      <c r="B36" s="1" t="n">
        <v>1</v>
      </c>
      <c r="C36" s="1" t="s">
        <v>82</v>
      </c>
      <c r="D36" s="1" t="s">
        <v>143</v>
      </c>
      <c r="E36" s="1" t="s">
        <v>294</v>
      </c>
      <c r="F36" s="1" t="s">
        <v>145</v>
      </c>
      <c r="G36" s="1" t="n">
        <v>-23.1531055</v>
      </c>
      <c r="H36" s="1" t="n">
        <v>-47.0580347</v>
      </c>
      <c r="I36" s="1" t="n">
        <v>-23.1838628</v>
      </c>
      <c r="J36" s="1" t="n">
        <v>-46.8899187</v>
      </c>
      <c r="K36" s="1" t="n">
        <v>22.1</v>
      </c>
      <c r="L36" s="1" t="n">
        <v>24.3</v>
      </c>
      <c r="M36" s="1" t="s">
        <v>17</v>
      </c>
      <c r="N36" s="1" t="n">
        <v>1</v>
      </c>
      <c r="O36" s="1" t="n">
        <f aca="false">N36/N38</f>
        <v>0.125</v>
      </c>
    </row>
    <row r="37" customFormat="false" ht="13.8" hidden="false" customHeight="false" outlineLevel="0" collapsed="false">
      <c r="A37" s="1" t="n">
        <v>0</v>
      </c>
      <c r="B37" s="1" t="n">
        <v>1</v>
      </c>
      <c r="C37" s="1" t="s">
        <v>82</v>
      </c>
      <c r="D37" s="1" t="s">
        <v>143</v>
      </c>
      <c r="E37" s="1" t="s">
        <v>294</v>
      </c>
      <c r="F37" s="1" t="s">
        <v>146</v>
      </c>
      <c r="G37" s="1" t="n">
        <v>-23.1531055</v>
      </c>
      <c r="H37" s="1" t="n">
        <v>-47.0580347</v>
      </c>
      <c r="I37" s="1" t="n">
        <v>-23.205120222563</v>
      </c>
      <c r="J37" s="1" t="n">
        <v>-46.8921294032143</v>
      </c>
      <c r="K37" s="1" t="n">
        <v>22.4</v>
      </c>
      <c r="L37" s="1" t="n">
        <v>24</v>
      </c>
      <c r="M37" s="1" t="s">
        <v>17</v>
      </c>
      <c r="N37" s="1" t="n">
        <v>7</v>
      </c>
      <c r="O37" s="1" t="n">
        <f aca="false">N37/N38</f>
        <v>0.875</v>
      </c>
    </row>
    <row r="38" customFormat="false" ht="13.8" hidden="false" customHeight="false" outlineLevel="0" collapsed="false">
      <c r="A38" s="1" t="n">
        <f aca="false">A37</f>
        <v>0</v>
      </c>
      <c r="B38" s="1" t="n">
        <f aca="false">B37</f>
        <v>1</v>
      </c>
      <c r="C38" s="1" t="str">
        <f aca="false">C37</f>
        <v>CAMPINAS</v>
      </c>
      <c r="D38" s="1" t="str">
        <f aca="false">D37</f>
        <v>JUNDIAI</v>
      </c>
      <c r="E38" s="1" t="str">
        <f aca="false">E37</f>
        <v>ITUPEVA</v>
      </c>
      <c r="F38" s="1" t="s">
        <v>586</v>
      </c>
      <c r="N38" s="1" t="n">
        <f aca="false">SUM(N36:N37)</f>
        <v>8</v>
      </c>
      <c r="P38" s="1" t="n">
        <f aca="false">(O36*L36)+(O37*L37)</f>
        <v>24.0375</v>
      </c>
      <c r="Q38" s="2" t="n">
        <f aca="false">(O36*K36)+(O37*K37)</f>
        <v>22.3625</v>
      </c>
    </row>
    <row r="39" customFormat="false" ht="13.8" hidden="false" customHeight="false" outlineLevel="0" collapsed="false">
      <c r="C39" s="1"/>
    </row>
    <row r="40" customFormat="false" ht="13.8" hidden="false" customHeight="false" outlineLevel="0" collapsed="false">
      <c r="A40" s="1" t="n">
        <v>0</v>
      </c>
      <c r="B40" s="1" t="n">
        <v>1</v>
      </c>
      <c r="C40" s="1" t="s">
        <v>82</v>
      </c>
      <c r="D40" s="1" t="s">
        <v>143</v>
      </c>
      <c r="E40" s="1" t="s">
        <v>302</v>
      </c>
      <c r="F40" s="1" t="s">
        <v>146</v>
      </c>
      <c r="G40" s="1" t="n">
        <v>-23.0949649</v>
      </c>
      <c r="H40" s="1" t="n">
        <v>-46.7148565</v>
      </c>
      <c r="I40" s="1" t="n">
        <v>-23.205120222563</v>
      </c>
      <c r="J40" s="1" t="n">
        <v>-46.8921294032143</v>
      </c>
      <c r="K40" s="1" t="n">
        <v>28.8</v>
      </c>
      <c r="L40" s="1" t="n">
        <v>34.5</v>
      </c>
      <c r="M40" s="1" t="s">
        <v>17</v>
      </c>
      <c r="N40" s="1" t="n">
        <v>4</v>
      </c>
      <c r="O40" s="1" t="n">
        <f aca="false">N40/N42</f>
        <v>0.16</v>
      </c>
    </row>
    <row r="41" customFormat="false" ht="13.8" hidden="false" customHeight="false" outlineLevel="0" collapsed="false">
      <c r="A41" s="1" t="n">
        <v>0</v>
      </c>
      <c r="B41" s="1" t="n">
        <v>1</v>
      </c>
      <c r="C41" s="1" t="s">
        <v>82</v>
      </c>
      <c r="D41" s="1" t="s">
        <v>143</v>
      </c>
      <c r="E41" s="1" t="s">
        <v>302</v>
      </c>
      <c r="F41" s="1" t="s">
        <v>145</v>
      </c>
      <c r="G41" s="1" t="n">
        <v>-23.0949649</v>
      </c>
      <c r="H41" s="1" t="n">
        <v>-46.7148565</v>
      </c>
      <c r="I41" s="1" t="n">
        <v>-23.1838628</v>
      </c>
      <c r="J41" s="1" t="n">
        <v>-46.8899187</v>
      </c>
      <c r="K41" s="1" t="n">
        <v>29.3</v>
      </c>
      <c r="L41" s="1" t="n">
        <v>33.2</v>
      </c>
      <c r="M41" s="1" t="s">
        <v>17</v>
      </c>
      <c r="N41" s="1" t="n">
        <v>21</v>
      </c>
      <c r="O41" s="1" t="n">
        <f aca="false">N41/N42</f>
        <v>0.84</v>
      </c>
    </row>
    <row r="42" customFormat="false" ht="13.8" hidden="false" customHeight="false" outlineLevel="0" collapsed="false">
      <c r="A42" s="1" t="n">
        <f aca="false">A41</f>
        <v>0</v>
      </c>
      <c r="B42" s="1" t="n">
        <f aca="false">B41</f>
        <v>1</v>
      </c>
      <c r="C42" s="1" t="str">
        <f aca="false">C41</f>
        <v>CAMPINAS</v>
      </c>
      <c r="D42" s="1" t="str">
        <f aca="false">D41</f>
        <v>JUNDIAI</v>
      </c>
      <c r="E42" s="1" t="str">
        <f aca="false">E41</f>
        <v>JARINU</v>
      </c>
      <c r="F42" s="1" t="s">
        <v>586</v>
      </c>
      <c r="N42" s="1" t="n">
        <f aca="false">SUM(N40:N41)</f>
        <v>25</v>
      </c>
      <c r="P42" s="1" t="n">
        <f aca="false">(O40*L40)+(O41*L41)</f>
        <v>33.408</v>
      </c>
      <c r="Q42" s="2" t="n">
        <f aca="false">(O40*K40)+(O41*K41)</f>
        <v>29.22</v>
      </c>
    </row>
    <row r="43" customFormat="false" ht="13.8" hidden="false" customHeight="false" outlineLevel="0" collapsed="false">
      <c r="C43" s="1"/>
    </row>
    <row r="44" customFormat="false" ht="13.8" hidden="false" customHeight="false" outlineLevel="0" collapsed="false">
      <c r="A44" s="1" t="n">
        <v>0</v>
      </c>
      <c r="B44" s="1" t="n">
        <v>1</v>
      </c>
      <c r="C44" s="1" t="s">
        <v>82</v>
      </c>
      <c r="D44" s="1" t="s">
        <v>143</v>
      </c>
      <c r="E44" s="1" t="s">
        <v>317</v>
      </c>
      <c r="F44" s="1" t="s">
        <v>146</v>
      </c>
      <c r="G44" s="1" t="n">
        <v>-23.08639</v>
      </c>
      <c r="H44" s="1" t="n">
        <v>-46.95056</v>
      </c>
      <c r="I44" s="1" t="n">
        <v>-23.205120222563</v>
      </c>
      <c r="J44" s="1" t="n">
        <v>-46.8921294032143</v>
      </c>
      <c r="K44" s="1" t="n">
        <v>19</v>
      </c>
      <c r="L44" s="1" t="n">
        <v>16.7</v>
      </c>
      <c r="M44" s="1" t="s">
        <v>17</v>
      </c>
      <c r="N44" s="1" t="n">
        <v>2</v>
      </c>
      <c r="O44" s="1" t="n">
        <f aca="false">N44/N46</f>
        <v>0.0909090909090909</v>
      </c>
    </row>
    <row r="45" customFormat="false" ht="13.8" hidden="false" customHeight="false" outlineLevel="0" collapsed="false">
      <c r="A45" s="1" t="n">
        <v>0</v>
      </c>
      <c r="B45" s="1" t="n">
        <v>1</v>
      </c>
      <c r="C45" s="1" t="s">
        <v>82</v>
      </c>
      <c r="D45" s="1" t="s">
        <v>143</v>
      </c>
      <c r="E45" s="1" t="s">
        <v>317</v>
      </c>
      <c r="F45" s="1" t="s">
        <v>145</v>
      </c>
      <c r="G45" s="1" t="n">
        <v>-23.08639</v>
      </c>
      <c r="H45" s="1" t="n">
        <v>-46.95056</v>
      </c>
      <c r="I45" s="1" t="n">
        <v>-23.1838628</v>
      </c>
      <c r="J45" s="1" t="n">
        <v>-46.8899187</v>
      </c>
      <c r="K45" s="1" t="n">
        <v>14.1</v>
      </c>
      <c r="L45" s="1" t="n">
        <v>16.3</v>
      </c>
      <c r="M45" s="1" t="s">
        <v>17</v>
      </c>
      <c r="N45" s="1" t="n">
        <v>20</v>
      </c>
      <c r="O45" s="1" t="n">
        <f aca="false">N45/N46</f>
        <v>0.909090909090909</v>
      </c>
    </row>
    <row r="46" customFormat="false" ht="13.8" hidden="false" customHeight="false" outlineLevel="0" collapsed="false">
      <c r="A46" s="1" t="n">
        <f aca="false">A45</f>
        <v>0</v>
      </c>
      <c r="B46" s="1" t="n">
        <f aca="false">B45</f>
        <v>1</v>
      </c>
      <c r="C46" s="1" t="str">
        <f aca="false">C45</f>
        <v>CAMPINAS</v>
      </c>
      <c r="D46" s="1" t="str">
        <f aca="false">D45</f>
        <v>JUNDIAI</v>
      </c>
      <c r="E46" s="1" t="str">
        <f aca="false">E45</f>
        <v>LOUVEIRA</v>
      </c>
      <c r="F46" s="1" t="s">
        <v>586</v>
      </c>
      <c r="N46" s="1" t="n">
        <f aca="false">SUM(N44:N45)</f>
        <v>22</v>
      </c>
      <c r="P46" s="1" t="n">
        <f aca="false">(O44*L44)+(O45*L45)</f>
        <v>16.3363636363636</v>
      </c>
      <c r="Q46" s="2" t="n">
        <f aca="false">(O44*K44)+(O45*K45)</f>
        <v>14.5454545454545</v>
      </c>
    </row>
    <row r="47" customFormat="false" ht="13.8" hidden="false" customHeight="false" outlineLevel="0" collapsed="false">
      <c r="C47" s="1"/>
    </row>
    <row r="48" customFormat="false" ht="13.8" hidden="false" customHeight="false" outlineLevel="0" collapsed="false">
      <c r="A48" s="1" t="n">
        <v>0</v>
      </c>
      <c r="B48" s="1" t="n">
        <v>1</v>
      </c>
      <c r="C48" s="1" t="s">
        <v>82</v>
      </c>
      <c r="D48" s="1" t="s">
        <v>143</v>
      </c>
      <c r="E48" s="1" t="s">
        <v>574</v>
      </c>
      <c r="F48" s="1" t="s">
        <v>146</v>
      </c>
      <c r="G48" s="1" t="n">
        <v>-23.2113889</v>
      </c>
      <c r="H48" s="1" t="n">
        <v>-46.8283333</v>
      </c>
      <c r="I48" s="1" t="n">
        <v>-23.205120222563</v>
      </c>
      <c r="J48" s="1" t="n">
        <v>-46.8921294032143</v>
      </c>
      <c r="K48" s="1" t="n">
        <v>8.4</v>
      </c>
      <c r="L48" s="1" t="n">
        <v>14</v>
      </c>
      <c r="M48" s="1" t="s">
        <v>17</v>
      </c>
      <c r="N48" s="1" t="n">
        <v>5</v>
      </c>
      <c r="O48" s="1" t="n">
        <f aca="false">N48/N50</f>
        <v>0.238095238095238</v>
      </c>
    </row>
    <row r="49" customFormat="false" ht="13.8" hidden="false" customHeight="false" outlineLevel="0" collapsed="false">
      <c r="A49" s="1" t="n">
        <v>0</v>
      </c>
      <c r="B49" s="1" t="n">
        <v>1</v>
      </c>
      <c r="C49" s="1" t="s">
        <v>82</v>
      </c>
      <c r="D49" s="1" t="s">
        <v>143</v>
      </c>
      <c r="E49" s="1" t="s">
        <v>574</v>
      </c>
      <c r="F49" s="1" t="s">
        <v>145</v>
      </c>
      <c r="G49" s="1" t="n">
        <v>-23.2113889</v>
      </c>
      <c r="H49" s="1" t="n">
        <v>-46.8283333</v>
      </c>
      <c r="I49" s="1" t="n">
        <v>-23.1838628</v>
      </c>
      <c r="J49" s="1" t="n">
        <v>-46.8899187</v>
      </c>
      <c r="K49" s="1" t="n">
        <v>8.9</v>
      </c>
      <c r="L49" s="1" t="n">
        <v>12.7</v>
      </c>
      <c r="M49" s="1" t="s">
        <v>17</v>
      </c>
      <c r="N49" s="1" t="n">
        <v>16</v>
      </c>
      <c r="O49" s="1" t="n">
        <f aca="false">N49/N50</f>
        <v>0.761904761904762</v>
      </c>
    </row>
    <row r="50" customFormat="false" ht="13.8" hidden="false" customHeight="false" outlineLevel="0" collapsed="false">
      <c r="A50" s="1" t="n">
        <f aca="false">A49</f>
        <v>0</v>
      </c>
      <c r="B50" s="1" t="n">
        <f aca="false">B49</f>
        <v>1</v>
      </c>
      <c r="C50" s="1" t="str">
        <f aca="false">C49</f>
        <v>CAMPINAS</v>
      </c>
      <c r="D50" s="1" t="str">
        <f aca="false">D49</f>
        <v>JUNDIAI</v>
      </c>
      <c r="E50" s="1" t="str">
        <f aca="false">E49</f>
        <v>VARZEA PAULISTA</v>
      </c>
      <c r="F50" s="1" t="s">
        <v>586</v>
      </c>
      <c r="N50" s="1" t="n">
        <f aca="false">SUM(N48:N49)</f>
        <v>21</v>
      </c>
      <c r="P50" s="1" t="n">
        <f aca="false">(O48*L48)+(O49*L49)</f>
        <v>13.0095238095238</v>
      </c>
      <c r="Q50" s="2" t="n">
        <f aca="false">(O48*K48)+(O49*K49)</f>
        <v>8.78095238095238</v>
      </c>
    </row>
    <row r="54" customFormat="false" ht="13.8" hidden="false" customHeight="false" outlineLevel="0" collapsed="false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11</v>
      </c>
      <c r="M54" s="2" t="s">
        <v>12</v>
      </c>
    </row>
    <row r="55" customFormat="false" ht="13.8" hidden="false" customHeight="false" outlineLevel="0" collapsed="false">
      <c r="A55" s="1" t="n">
        <v>0</v>
      </c>
      <c r="B55" s="1" t="n">
        <v>1</v>
      </c>
      <c r="C55" s="1" t="s">
        <v>49</v>
      </c>
      <c r="D55" s="1" t="s">
        <v>49</v>
      </c>
      <c r="E55" s="1" t="s">
        <v>50</v>
      </c>
      <c r="F55" s="1" t="s">
        <v>51</v>
      </c>
      <c r="G55" s="1" t="n">
        <v>-22.0787992</v>
      </c>
      <c r="H55" s="1" t="n">
        <v>-49.7194861</v>
      </c>
      <c r="I55" s="1" t="n">
        <v>-22.227114</v>
      </c>
      <c r="J55" s="1" t="n">
        <v>-49.9359818</v>
      </c>
      <c r="K55" s="1" t="n">
        <v>49.7</v>
      </c>
      <c r="L55" s="1" t="n">
        <v>45.9</v>
      </c>
      <c r="M55" s="1" t="s">
        <v>17</v>
      </c>
      <c r="N55" s="1" t="n">
        <v>5</v>
      </c>
      <c r="O55" s="1" t="n">
        <f aca="false">N55/N57</f>
        <v>0.833333333333333</v>
      </c>
    </row>
    <row r="56" customFormat="false" ht="13.8" hidden="false" customHeight="false" outlineLevel="0" collapsed="false">
      <c r="A56" s="1" t="n">
        <v>0</v>
      </c>
      <c r="B56" s="1" t="n">
        <v>1</v>
      </c>
      <c r="C56" s="1" t="s">
        <v>49</v>
      </c>
      <c r="D56" s="1" t="s">
        <v>49</v>
      </c>
      <c r="E56" s="1" t="s">
        <v>50</v>
      </c>
      <c r="F56" s="1" t="s">
        <v>52</v>
      </c>
      <c r="G56" s="1" t="n">
        <v>-22.0787992</v>
      </c>
      <c r="H56" s="1" t="n">
        <v>-49.7194861</v>
      </c>
      <c r="I56" s="1" t="n">
        <v>-22.224027</v>
      </c>
      <c r="J56" s="1" t="n">
        <v>-49.9472085</v>
      </c>
      <c r="K56" s="1" t="n">
        <v>45.5</v>
      </c>
      <c r="L56" s="1" t="n">
        <v>45.1</v>
      </c>
      <c r="M56" s="1" t="s">
        <v>17</v>
      </c>
      <c r="N56" s="1" t="n">
        <v>1</v>
      </c>
      <c r="O56" s="1" t="n">
        <f aca="false">N56/N57</f>
        <v>0.166666666666667</v>
      </c>
    </row>
    <row r="57" customFormat="false" ht="13.8" hidden="false" customHeight="false" outlineLevel="0" collapsed="false">
      <c r="A57" s="1" t="n">
        <f aca="false">A56</f>
        <v>0</v>
      </c>
      <c r="B57" s="1" t="n">
        <f aca="false">B56</f>
        <v>1</v>
      </c>
      <c r="C57" s="1" t="str">
        <f aca="false">C56</f>
        <v>MARILIA</v>
      </c>
      <c r="D57" s="1" t="str">
        <f aca="false">D56</f>
        <v>MARILIA</v>
      </c>
      <c r="E57" s="1" t="str">
        <f aca="false">E56</f>
        <v>ALVARO DE CARVALHO</v>
      </c>
      <c r="F57" s="1" t="s">
        <v>586</v>
      </c>
      <c r="N57" s="1" t="n">
        <f aca="false">SUM(N55:N56)</f>
        <v>6</v>
      </c>
      <c r="P57" s="1" t="n">
        <f aca="false">(O55*L55)+(O56*L56)</f>
        <v>45.7666666666667</v>
      </c>
      <c r="Q57" s="2" t="n">
        <f aca="false">(O55*K55)+(O56*K56)</f>
        <v>49</v>
      </c>
    </row>
    <row r="58" customFormat="false" ht="13.8" hidden="false" customHeight="false" outlineLevel="0" collapsed="false">
      <c r="C58" s="1"/>
    </row>
    <row r="59" customFormat="false" ht="13.8" hidden="false" customHeight="false" outlineLevel="0" collapsed="false">
      <c r="A59" s="1" t="n">
        <v>0</v>
      </c>
      <c r="B59" s="1" t="n">
        <v>1</v>
      </c>
      <c r="C59" s="1" t="s">
        <v>49</v>
      </c>
      <c r="D59" s="1" t="s">
        <v>49</v>
      </c>
      <c r="E59" s="1" t="s">
        <v>53</v>
      </c>
      <c r="F59" s="1" t="s">
        <v>51</v>
      </c>
      <c r="G59" s="1" t="n">
        <v>-22.4431852</v>
      </c>
      <c r="H59" s="1" t="n">
        <v>-49.7643596</v>
      </c>
      <c r="I59" s="1" t="n">
        <v>-22.227114</v>
      </c>
      <c r="J59" s="1" t="n">
        <v>-49.9359818</v>
      </c>
      <c r="K59" s="1" t="n">
        <v>43.3</v>
      </c>
      <c r="L59" s="1" t="n">
        <v>42.1</v>
      </c>
      <c r="M59" s="1" t="s">
        <v>17</v>
      </c>
      <c r="N59" s="1" t="n">
        <v>2</v>
      </c>
      <c r="O59" s="1" t="n">
        <f aca="false">N59/N61</f>
        <v>1</v>
      </c>
    </row>
    <row r="60" customFormat="false" ht="13.8" hidden="false" customHeight="false" outlineLevel="0" collapsed="false">
      <c r="A60" s="1" t="n">
        <v>0</v>
      </c>
      <c r="B60" s="1" t="n">
        <v>1</v>
      </c>
      <c r="C60" s="1" t="s">
        <v>49</v>
      </c>
      <c r="D60" s="1" t="s">
        <v>49</v>
      </c>
      <c r="E60" s="1" t="s">
        <v>53</v>
      </c>
      <c r="F60" s="1" t="s">
        <v>52</v>
      </c>
      <c r="G60" s="1" t="n">
        <v>-22.4431852</v>
      </c>
      <c r="H60" s="1" t="n">
        <v>-49.7643596</v>
      </c>
      <c r="I60" s="1" t="n">
        <v>-22.224027</v>
      </c>
      <c r="J60" s="1" t="n">
        <v>-49.9472085</v>
      </c>
      <c r="K60" s="1" t="n">
        <v>44.3</v>
      </c>
      <c r="L60" s="1" t="n">
        <v>41.7</v>
      </c>
      <c r="M60" s="1" t="s">
        <v>17</v>
      </c>
      <c r="N60" s="1" t="n">
        <v>0</v>
      </c>
      <c r="O60" s="1" t="n">
        <f aca="false">N60/N61</f>
        <v>0</v>
      </c>
    </row>
    <row r="61" customFormat="false" ht="13.8" hidden="false" customHeight="false" outlineLevel="0" collapsed="false">
      <c r="A61" s="1" t="n">
        <f aca="false">A60</f>
        <v>0</v>
      </c>
      <c r="B61" s="1" t="n">
        <f aca="false">B60</f>
        <v>1</v>
      </c>
      <c r="C61" s="1" t="str">
        <f aca="false">C60</f>
        <v>MARILIA</v>
      </c>
      <c r="D61" s="1" t="str">
        <f aca="false">D60</f>
        <v>MARILIA</v>
      </c>
      <c r="E61" s="1" t="str">
        <f aca="false">E60</f>
        <v>ALVINLANDIA</v>
      </c>
      <c r="F61" s="1" t="s">
        <v>586</v>
      </c>
      <c r="N61" s="1" t="n">
        <f aca="false">SUM(N59:N60)</f>
        <v>2</v>
      </c>
      <c r="P61" s="1" t="n">
        <f aca="false">(O59*L59)+(O60*L60)</f>
        <v>42.1</v>
      </c>
      <c r="Q61" s="2" t="n">
        <f aca="false">(O59*K59)+(O60*K60)</f>
        <v>43.3</v>
      </c>
    </row>
    <row r="62" customFormat="false" ht="13.8" hidden="false" customHeight="false" outlineLevel="0" collapsed="false">
      <c r="C62" s="1"/>
    </row>
    <row r="63" customFormat="false" ht="13.8" hidden="false" customHeight="false" outlineLevel="0" collapsed="false">
      <c r="A63" s="1" t="n">
        <v>0</v>
      </c>
      <c r="B63" s="1" t="n">
        <v>1</v>
      </c>
      <c r="C63" s="1" t="s">
        <v>49</v>
      </c>
      <c r="D63" s="1" t="s">
        <v>49</v>
      </c>
      <c r="E63" s="1" t="s">
        <v>159</v>
      </c>
      <c r="F63" s="1" t="s">
        <v>51</v>
      </c>
      <c r="G63" s="1" t="n">
        <v>-22.601952</v>
      </c>
      <c r="H63" s="1" t="n">
        <v>-49.998726</v>
      </c>
      <c r="I63" s="1" t="n">
        <v>-22.227114</v>
      </c>
      <c r="J63" s="1" t="n">
        <v>-49.9359818</v>
      </c>
      <c r="K63" s="1" t="n">
        <v>61.8</v>
      </c>
      <c r="L63" s="1" t="n">
        <v>53.9</v>
      </c>
      <c r="M63" s="1" t="s">
        <v>17</v>
      </c>
      <c r="N63" s="1" t="n">
        <v>18</v>
      </c>
      <c r="O63" s="1" t="n">
        <f aca="false">N63/N65</f>
        <v>0.857142857142857</v>
      </c>
    </row>
    <row r="64" customFormat="false" ht="13.8" hidden="false" customHeight="false" outlineLevel="0" collapsed="false">
      <c r="A64" s="1" t="n">
        <v>0</v>
      </c>
      <c r="B64" s="1" t="n">
        <v>1</v>
      </c>
      <c r="C64" s="1" t="s">
        <v>49</v>
      </c>
      <c r="D64" s="1" t="s">
        <v>49</v>
      </c>
      <c r="E64" s="1" t="s">
        <v>159</v>
      </c>
      <c r="F64" s="1" t="s">
        <v>52</v>
      </c>
      <c r="G64" s="1" t="n">
        <v>-22.601952</v>
      </c>
      <c r="H64" s="1" t="n">
        <v>-49.998726</v>
      </c>
      <c r="I64" s="1" t="n">
        <v>-22.224027</v>
      </c>
      <c r="J64" s="1" t="n">
        <v>-49.9472085</v>
      </c>
      <c r="K64" s="1" t="n">
        <v>62.7</v>
      </c>
      <c r="L64" s="1" t="n">
        <v>53.5</v>
      </c>
      <c r="M64" s="1" t="s">
        <v>17</v>
      </c>
      <c r="N64" s="1" t="n">
        <v>3</v>
      </c>
      <c r="O64" s="1" t="n">
        <f aca="false">N64/N65</f>
        <v>0.142857142857143</v>
      </c>
    </row>
    <row r="65" customFormat="false" ht="13.8" hidden="false" customHeight="false" outlineLevel="0" collapsed="false">
      <c r="A65" s="1" t="n">
        <f aca="false">A64</f>
        <v>0</v>
      </c>
      <c r="B65" s="1" t="n">
        <f aca="false">B64</f>
        <v>1</v>
      </c>
      <c r="C65" s="1" t="str">
        <f aca="false">C64</f>
        <v>MARILIA</v>
      </c>
      <c r="D65" s="1" t="str">
        <f aca="false">D64</f>
        <v>MARILIA</v>
      </c>
      <c r="E65" s="1" t="str">
        <f aca="false">E64</f>
        <v>CAMPOS NOVOS PAULISTA</v>
      </c>
      <c r="F65" s="1" t="s">
        <v>586</v>
      </c>
      <c r="N65" s="1" t="n">
        <f aca="false">SUM(N63:N64)</f>
        <v>21</v>
      </c>
      <c r="P65" s="1" t="n">
        <f aca="false">(O63*L63)+(O64*L64)</f>
        <v>53.8428571428571</v>
      </c>
      <c r="Q65" s="2" t="n">
        <f aca="false">(O63*K63)+(O64*K64)</f>
        <v>61.9285714285714</v>
      </c>
    </row>
    <row r="66" customFormat="false" ht="13.8" hidden="false" customHeight="false" outlineLevel="0" collapsed="false">
      <c r="C66" s="1"/>
    </row>
    <row r="67" customFormat="false" ht="13.8" hidden="false" customHeight="false" outlineLevel="0" collapsed="false">
      <c r="A67" s="1" t="n">
        <v>0</v>
      </c>
      <c r="B67" s="1" t="n">
        <v>1</v>
      </c>
      <c r="C67" s="1" t="s">
        <v>49</v>
      </c>
      <c r="D67" s="1" t="s">
        <v>49</v>
      </c>
      <c r="E67" s="1" t="s">
        <v>208</v>
      </c>
      <c r="F67" s="1" t="s">
        <v>51</v>
      </c>
      <c r="G67" s="1" t="n">
        <v>-22.4325855</v>
      </c>
      <c r="H67" s="1" t="n">
        <v>-50.2037693</v>
      </c>
      <c r="I67" s="1" t="n">
        <v>-22.227114</v>
      </c>
      <c r="J67" s="1" t="n">
        <v>-49.9359818</v>
      </c>
      <c r="K67" s="1" t="n">
        <v>41.9</v>
      </c>
      <c r="L67" s="1" t="n">
        <v>38.9</v>
      </c>
      <c r="M67" s="1" t="s">
        <v>17</v>
      </c>
      <c r="N67" s="1" t="n">
        <v>8</v>
      </c>
      <c r="O67" s="1" t="n">
        <f aca="false">N67/N69</f>
        <v>1</v>
      </c>
    </row>
    <row r="68" customFormat="false" ht="13.8" hidden="false" customHeight="false" outlineLevel="0" collapsed="false">
      <c r="A68" s="1" t="n">
        <v>0</v>
      </c>
      <c r="B68" s="1" t="n">
        <v>1</v>
      </c>
      <c r="C68" s="1" t="s">
        <v>49</v>
      </c>
      <c r="D68" s="1" t="s">
        <v>49</v>
      </c>
      <c r="E68" s="1" t="s">
        <v>208</v>
      </c>
      <c r="F68" s="1" t="s">
        <v>52</v>
      </c>
      <c r="G68" s="1" t="n">
        <v>-22.4325855</v>
      </c>
      <c r="H68" s="1" t="n">
        <v>-50.2037693</v>
      </c>
      <c r="I68" s="1" t="n">
        <v>-22.224027</v>
      </c>
      <c r="J68" s="1" t="n">
        <v>-49.9472085</v>
      </c>
      <c r="K68" s="1" t="n">
        <v>41.1</v>
      </c>
      <c r="L68" s="1" t="n">
        <v>38.5</v>
      </c>
      <c r="M68" s="1" t="s">
        <v>17</v>
      </c>
      <c r="N68" s="1" t="n">
        <v>0</v>
      </c>
      <c r="O68" s="1" t="n">
        <f aca="false">N68/N69</f>
        <v>0</v>
      </c>
    </row>
    <row r="69" customFormat="false" ht="13.8" hidden="false" customHeight="false" outlineLevel="0" collapsed="false">
      <c r="A69" s="1" t="n">
        <f aca="false">A68</f>
        <v>0</v>
      </c>
      <c r="B69" s="1" t="n">
        <f aca="false">B68</f>
        <v>1</v>
      </c>
      <c r="C69" s="1" t="str">
        <f aca="false">C68</f>
        <v>MARILIA</v>
      </c>
      <c r="D69" s="1" t="str">
        <f aca="false">D68</f>
        <v>MARILIA</v>
      </c>
      <c r="E69" s="1" t="str">
        <f aca="false">E68</f>
        <v>ECHAPORA</v>
      </c>
      <c r="F69" s="1" t="s">
        <v>586</v>
      </c>
      <c r="N69" s="1" t="n">
        <f aca="false">SUM(N67:N68)</f>
        <v>8</v>
      </c>
      <c r="P69" s="1" t="n">
        <f aca="false">(O67*L67)+(O68*L68)</f>
        <v>38.9</v>
      </c>
      <c r="Q69" s="2" t="n">
        <f aca="false">(O67*K67)+(O68*K68)</f>
        <v>41.9</v>
      </c>
    </row>
    <row r="70" customFormat="false" ht="13.8" hidden="false" customHeight="false" outlineLevel="0" collapsed="false">
      <c r="C70" s="1"/>
    </row>
    <row r="71" customFormat="false" ht="13.8" hidden="false" customHeight="false" outlineLevel="0" collapsed="false">
      <c r="A71" s="1" t="n">
        <v>0</v>
      </c>
      <c r="B71" s="1" t="n">
        <v>1</v>
      </c>
      <c r="C71" s="1" t="s">
        <v>49</v>
      </c>
      <c r="D71" s="1" t="s">
        <v>49</v>
      </c>
      <c r="E71" s="1" t="s">
        <v>224</v>
      </c>
      <c r="F71" s="1" t="s">
        <v>52</v>
      </c>
      <c r="G71" s="1" t="n">
        <v>-22.3595388</v>
      </c>
      <c r="H71" s="1" t="n">
        <v>-49.5209504</v>
      </c>
      <c r="I71" s="1" t="n">
        <v>-22.224027</v>
      </c>
      <c r="J71" s="1" t="n">
        <v>-49.9472085</v>
      </c>
      <c r="K71" s="1" t="n">
        <v>60.3</v>
      </c>
      <c r="L71" s="1" t="n">
        <v>55</v>
      </c>
      <c r="M71" s="1" t="s">
        <v>17</v>
      </c>
      <c r="N71" s="1" t="n">
        <v>2</v>
      </c>
      <c r="O71" s="1" t="n">
        <f aca="false">N71/N73</f>
        <v>0.125</v>
      </c>
    </row>
    <row r="72" customFormat="false" ht="13.8" hidden="false" customHeight="false" outlineLevel="0" collapsed="false">
      <c r="A72" s="1" t="n">
        <v>0</v>
      </c>
      <c r="B72" s="1" t="n">
        <v>1</v>
      </c>
      <c r="C72" s="1" t="s">
        <v>49</v>
      </c>
      <c r="D72" s="1" t="s">
        <v>49</v>
      </c>
      <c r="E72" s="1" t="s">
        <v>224</v>
      </c>
      <c r="F72" s="1" t="s">
        <v>51</v>
      </c>
      <c r="G72" s="1" t="n">
        <v>-22.3595388</v>
      </c>
      <c r="H72" s="1" t="n">
        <v>-49.5209504</v>
      </c>
      <c r="I72" s="1" t="n">
        <v>-22.227114</v>
      </c>
      <c r="J72" s="1" t="n">
        <v>-49.9359818</v>
      </c>
      <c r="K72" s="1" t="n">
        <v>58.4</v>
      </c>
      <c r="L72" s="1" t="n">
        <v>53.4</v>
      </c>
      <c r="M72" s="1" t="s">
        <v>17</v>
      </c>
      <c r="N72" s="1" t="n">
        <v>14</v>
      </c>
      <c r="O72" s="1" t="n">
        <f aca="false">N72/N73</f>
        <v>0.875</v>
      </c>
    </row>
    <row r="73" customFormat="false" ht="13.8" hidden="false" customHeight="false" outlineLevel="0" collapsed="false">
      <c r="A73" s="1" t="n">
        <f aca="false">A72</f>
        <v>0</v>
      </c>
      <c r="B73" s="1" t="n">
        <f aca="false">B72</f>
        <v>1</v>
      </c>
      <c r="C73" s="1" t="str">
        <f aca="false">C72</f>
        <v>MARILIA</v>
      </c>
      <c r="D73" s="1" t="str">
        <f aca="false">D72</f>
        <v>MARILIA</v>
      </c>
      <c r="E73" s="1" t="str">
        <f aca="false">E72</f>
        <v>FERNAO</v>
      </c>
      <c r="F73" s="1" t="s">
        <v>586</v>
      </c>
      <c r="N73" s="1" t="n">
        <f aca="false">SUM(N71:N72)</f>
        <v>16</v>
      </c>
      <c r="P73" s="1" t="n">
        <f aca="false">(O71*L71)+(O72*L72)</f>
        <v>53.6</v>
      </c>
      <c r="Q73" s="2" t="n">
        <f aca="false">(O71*K71)+(O72*K72)</f>
        <v>58.6375</v>
      </c>
    </row>
    <row r="74" customFormat="false" ht="13.8" hidden="false" customHeight="false" outlineLevel="0" collapsed="false">
      <c r="C74" s="1"/>
    </row>
    <row r="75" customFormat="false" ht="13.8" hidden="false" customHeight="false" outlineLevel="0" collapsed="false">
      <c r="A75" s="1" t="n">
        <v>0</v>
      </c>
      <c r="B75" s="1" t="n">
        <v>1</v>
      </c>
      <c r="C75" s="1" t="s">
        <v>49</v>
      </c>
      <c r="D75" s="1" t="s">
        <v>49</v>
      </c>
      <c r="E75" s="1" t="s">
        <v>232</v>
      </c>
      <c r="F75" s="1" t="s">
        <v>52</v>
      </c>
      <c r="G75" s="1" t="n">
        <v>-22.2936976</v>
      </c>
      <c r="H75" s="1" t="n">
        <v>-49.5516228</v>
      </c>
      <c r="I75" s="1" t="n">
        <v>-22.224027</v>
      </c>
      <c r="J75" s="1" t="n">
        <v>-49.9472085</v>
      </c>
      <c r="K75" s="1" t="n">
        <v>52.2</v>
      </c>
      <c r="L75" s="1" t="n">
        <v>42.8</v>
      </c>
      <c r="M75" s="1" t="s">
        <v>17</v>
      </c>
      <c r="N75" s="1" t="n">
        <v>0</v>
      </c>
      <c r="O75" s="1" t="n">
        <f aca="false">N75/N77</f>
        <v>0</v>
      </c>
    </row>
    <row r="76" customFormat="false" ht="13.8" hidden="false" customHeight="false" outlineLevel="0" collapsed="false">
      <c r="A76" s="1" t="n">
        <v>0</v>
      </c>
      <c r="B76" s="1" t="n">
        <v>1</v>
      </c>
      <c r="C76" s="1" t="s">
        <v>49</v>
      </c>
      <c r="D76" s="1" t="s">
        <v>49</v>
      </c>
      <c r="E76" s="1" t="s">
        <v>232</v>
      </c>
      <c r="F76" s="1" t="s">
        <v>51</v>
      </c>
      <c r="G76" s="1" t="n">
        <v>-22.2936976</v>
      </c>
      <c r="H76" s="1" t="n">
        <v>-49.5516228</v>
      </c>
      <c r="I76" s="1" t="n">
        <v>-22.227114</v>
      </c>
      <c r="J76" s="1" t="n">
        <v>-49.9359818</v>
      </c>
      <c r="K76" s="1" t="n">
        <v>50.3</v>
      </c>
      <c r="L76" s="1" t="n">
        <v>41.3</v>
      </c>
      <c r="M76" s="1" t="s">
        <v>17</v>
      </c>
      <c r="N76" s="1" t="n">
        <v>3</v>
      </c>
      <c r="O76" s="1" t="n">
        <f aca="false">N76/N77</f>
        <v>1</v>
      </c>
    </row>
    <row r="77" customFormat="false" ht="13.8" hidden="false" customHeight="false" outlineLevel="0" collapsed="false">
      <c r="A77" s="1" t="n">
        <f aca="false">A76</f>
        <v>0</v>
      </c>
      <c r="B77" s="1" t="n">
        <f aca="false">B76</f>
        <v>1</v>
      </c>
      <c r="C77" s="1" t="str">
        <f aca="false">C76</f>
        <v>MARILIA</v>
      </c>
      <c r="D77" s="1" t="str">
        <f aca="false">D76</f>
        <v>MARILIA</v>
      </c>
      <c r="E77" s="1" t="str">
        <f aca="false">E76</f>
        <v>GALIA</v>
      </c>
      <c r="F77" s="1" t="s">
        <v>586</v>
      </c>
      <c r="N77" s="1" t="n">
        <f aca="false">SUM(N75:N76)</f>
        <v>3</v>
      </c>
      <c r="P77" s="1" t="n">
        <f aca="false">(O75*L75)+(O76*L76)</f>
        <v>41.3</v>
      </c>
      <c r="Q77" s="2" t="n">
        <f aca="false">(O75*K75)+(O76*K76)</f>
        <v>50.3</v>
      </c>
    </row>
    <row r="78" customFormat="false" ht="13.8" hidden="false" customHeight="false" outlineLevel="0" collapsed="false">
      <c r="C78" s="1"/>
    </row>
    <row r="79" customFormat="false" ht="13.8" hidden="false" customHeight="false" outlineLevel="0" collapsed="false">
      <c r="A79" s="1" t="n">
        <v>0</v>
      </c>
      <c r="B79" s="1" t="n">
        <v>1</v>
      </c>
      <c r="C79" s="1" t="s">
        <v>49</v>
      </c>
      <c r="D79" s="1" t="s">
        <v>49</v>
      </c>
      <c r="E79" s="1" t="s">
        <v>233</v>
      </c>
      <c r="F79" s="1" t="s">
        <v>52</v>
      </c>
      <c r="G79" s="1" t="n">
        <v>-22.2125766</v>
      </c>
      <c r="H79" s="1" t="n">
        <v>-49.6547994</v>
      </c>
      <c r="I79" s="1" t="n">
        <v>-22.224027</v>
      </c>
      <c r="J79" s="1" t="n">
        <v>-49.9472085</v>
      </c>
      <c r="K79" s="1" t="n">
        <v>33.4</v>
      </c>
      <c r="L79" s="1" t="n">
        <v>29.6</v>
      </c>
      <c r="M79" s="1" t="s">
        <v>17</v>
      </c>
      <c r="N79" s="1" t="n">
        <v>7</v>
      </c>
      <c r="O79" s="1" t="n">
        <f aca="false">N79/N81</f>
        <v>0.0945945945945946</v>
      </c>
    </row>
    <row r="80" customFormat="false" ht="13.8" hidden="false" customHeight="false" outlineLevel="0" collapsed="false">
      <c r="A80" s="1" t="n">
        <v>0</v>
      </c>
      <c r="B80" s="1" t="n">
        <v>1</v>
      </c>
      <c r="C80" s="1" t="s">
        <v>49</v>
      </c>
      <c r="D80" s="1" t="s">
        <v>49</v>
      </c>
      <c r="E80" s="1" t="s">
        <v>233</v>
      </c>
      <c r="F80" s="1" t="s">
        <v>51</v>
      </c>
      <c r="G80" s="1" t="n">
        <v>-22.2125766</v>
      </c>
      <c r="H80" s="1" t="n">
        <v>-49.6547994</v>
      </c>
      <c r="I80" s="1" t="n">
        <v>-22.227114</v>
      </c>
      <c r="J80" s="1" t="n">
        <v>-49.9359818</v>
      </c>
      <c r="K80" s="1" t="n">
        <v>31.5</v>
      </c>
      <c r="L80" s="1" t="n">
        <v>28</v>
      </c>
      <c r="M80" s="1" t="s">
        <v>17</v>
      </c>
      <c r="N80" s="1" t="n">
        <v>67</v>
      </c>
      <c r="O80" s="1" t="n">
        <f aca="false">N80/N81</f>
        <v>0.905405405405405</v>
      </c>
    </row>
    <row r="81" customFormat="false" ht="13.8" hidden="false" customHeight="false" outlineLevel="0" collapsed="false">
      <c r="A81" s="1" t="n">
        <f aca="false">A80</f>
        <v>0</v>
      </c>
      <c r="B81" s="1" t="n">
        <f aca="false">B80</f>
        <v>1</v>
      </c>
      <c r="C81" s="1" t="str">
        <f aca="false">C80</f>
        <v>MARILIA</v>
      </c>
      <c r="D81" s="1" t="str">
        <f aca="false">D80</f>
        <v>MARILIA</v>
      </c>
      <c r="E81" s="1" t="str">
        <f aca="false">E80</f>
        <v>GARCA</v>
      </c>
      <c r="F81" s="1" t="s">
        <v>586</v>
      </c>
      <c r="N81" s="1" t="n">
        <f aca="false">SUM(N79:N80)</f>
        <v>74</v>
      </c>
      <c r="P81" s="1" t="n">
        <f aca="false">(O79*L79)+(O80*L80)</f>
        <v>28.1513513513514</v>
      </c>
      <c r="Q81" s="2" t="n">
        <f aca="false">(O79*K79)+(O80*K80)</f>
        <v>31.6797297297297</v>
      </c>
    </row>
    <row r="82" customFormat="false" ht="13.8" hidden="false" customHeight="false" outlineLevel="0" collapsed="false">
      <c r="C82" s="1"/>
    </row>
    <row r="83" customFormat="false" ht="13.8" hidden="false" customHeight="false" outlineLevel="0" collapsed="false">
      <c r="A83" s="1" t="n">
        <v>0</v>
      </c>
      <c r="B83" s="1" t="n">
        <v>1</v>
      </c>
      <c r="C83" s="1" t="s">
        <v>49</v>
      </c>
      <c r="D83" s="1" t="s">
        <v>49</v>
      </c>
      <c r="E83" s="1" t="s">
        <v>240</v>
      </c>
      <c r="F83" s="1" t="s">
        <v>51</v>
      </c>
      <c r="G83" s="1" t="n">
        <v>-21.909072</v>
      </c>
      <c r="H83" s="1" t="n">
        <v>-49.89861</v>
      </c>
      <c r="I83" s="1" t="n">
        <v>-22.227114</v>
      </c>
      <c r="J83" s="1" t="n">
        <v>-49.9359818</v>
      </c>
      <c r="K83" s="1" t="n">
        <v>43.8</v>
      </c>
      <c r="L83" s="1" t="n">
        <v>45.2</v>
      </c>
      <c r="M83" s="1" t="s">
        <v>17</v>
      </c>
      <c r="N83" s="1" t="n">
        <v>16</v>
      </c>
      <c r="O83" s="1" t="n">
        <f aca="false">N83/N85</f>
        <v>0.941176470588235</v>
      </c>
    </row>
    <row r="84" customFormat="false" ht="13.8" hidden="false" customHeight="false" outlineLevel="0" collapsed="false">
      <c r="A84" s="1" t="n">
        <v>0</v>
      </c>
      <c r="B84" s="1" t="n">
        <v>1</v>
      </c>
      <c r="C84" s="1" t="s">
        <v>49</v>
      </c>
      <c r="D84" s="1" t="s">
        <v>49</v>
      </c>
      <c r="E84" s="1" t="s">
        <v>240</v>
      </c>
      <c r="F84" s="1" t="s">
        <v>52</v>
      </c>
      <c r="G84" s="1" t="n">
        <v>-21.909072</v>
      </c>
      <c r="H84" s="1" t="n">
        <v>-49.89861</v>
      </c>
      <c r="I84" s="1" t="n">
        <v>-22.224027</v>
      </c>
      <c r="J84" s="1" t="n">
        <v>-49.9472085</v>
      </c>
      <c r="K84" s="1" t="n">
        <v>42.4</v>
      </c>
      <c r="L84" s="1" t="n">
        <v>42.8</v>
      </c>
      <c r="M84" s="1" t="s">
        <v>17</v>
      </c>
      <c r="N84" s="1" t="n">
        <v>1</v>
      </c>
      <c r="O84" s="1" t="n">
        <f aca="false">N84/N85</f>
        <v>0.0588235294117647</v>
      </c>
    </row>
    <row r="85" customFormat="false" ht="13.8" hidden="false" customHeight="false" outlineLevel="0" collapsed="false">
      <c r="A85" s="1" t="n">
        <f aca="false">A84</f>
        <v>0</v>
      </c>
      <c r="B85" s="1" t="n">
        <f aca="false">B84</f>
        <v>1</v>
      </c>
      <c r="C85" s="1" t="str">
        <f aca="false">C84</f>
        <v>MARILIA</v>
      </c>
      <c r="D85" s="1" t="str">
        <f aca="false">D84</f>
        <v>MARILIA</v>
      </c>
      <c r="E85" s="1" t="str">
        <f aca="false">E84</f>
        <v>GUAIMBE</v>
      </c>
      <c r="F85" s="1" t="s">
        <v>586</v>
      </c>
      <c r="N85" s="1" t="n">
        <f aca="false">SUM(N83:N84)</f>
        <v>17</v>
      </c>
      <c r="P85" s="1" t="n">
        <f aca="false">(O83*L83)+(O84*L84)</f>
        <v>45.0588235294118</v>
      </c>
      <c r="Q85" s="2" t="n">
        <f aca="false">(O83*K83)+(O84*K84)</f>
        <v>43.7176470588235</v>
      </c>
    </row>
    <row r="86" customFormat="false" ht="13.8" hidden="false" customHeight="false" outlineLevel="0" collapsed="false">
      <c r="C86" s="1"/>
    </row>
    <row r="87" customFormat="false" ht="13.8" hidden="false" customHeight="false" outlineLevel="0" collapsed="false">
      <c r="A87" s="1" t="n">
        <v>0</v>
      </c>
      <c r="B87" s="1" t="n">
        <v>1</v>
      </c>
      <c r="C87" s="1" t="s">
        <v>49</v>
      </c>
      <c r="D87" s="1" t="s">
        <v>49</v>
      </c>
      <c r="E87" s="1" t="s">
        <v>244</v>
      </c>
      <c r="F87" s="1" t="s">
        <v>51</v>
      </c>
      <c r="G87" s="1" t="n">
        <v>-21.8950705</v>
      </c>
      <c r="H87" s="1" t="n">
        <v>-49.590107</v>
      </c>
      <c r="I87" s="1" t="n">
        <v>-22.227114</v>
      </c>
      <c r="J87" s="1" t="n">
        <v>-49.9359818</v>
      </c>
      <c r="K87" s="1" t="n">
        <v>63.4</v>
      </c>
      <c r="L87" s="1" t="n">
        <v>56.3</v>
      </c>
      <c r="M87" s="1" t="s">
        <v>17</v>
      </c>
      <c r="N87" s="1" t="n">
        <v>24</v>
      </c>
      <c r="O87" s="1" t="n">
        <f aca="false">N87/N89</f>
        <v>0.774193548387097</v>
      </c>
    </row>
    <row r="88" customFormat="false" ht="13.8" hidden="false" customHeight="false" outlineLevel="0" collapsed="false">
      <c r="A88" s="1" t="n">
        <v>0</v>
      </c>
      <c r="B88" s="1" t="n">
        <v>1</v>
      </c>
      <c r="C88" s="1" t="s">
        <v>49</v>
      </c>
      <c r="D88" s="1" t="s">
        <v>49</v>
      </c>
      <c r="E88" s="1" t="s">
        <v>244</v>
      </c>
      <c r="F88" s="1" t="s">
        <v>52</v>
      </c>
      <c r="G88" s="1" t="n">
        <v>-21.8950705</v>
      </c>
      <c r="H88" s="1" t="n">
        <v>-49.590107</v>
      </c>
      <c r="I88" s="1" t="n">
        <v>-22.224027</v>
      </c>
      <c r="J88" s="1" t="n">
        <v>-49.9472085</v>
      </c>
      <c r="K88" s="1" t="n">
        <v>62.1</v>
      </c>
      <c r="L88" s="1" t="n">
        <v>53.9</v>
      </c>
      <c r="M88" s="1" t="s">
        <v>17</v>
      </c>
      <c r="N88" s="1" t="n">
        <v>7</v>
      </c>
      <c r="O88" s="1" t="n">
        <f aca="false">N88/N89</f>
        <v>0.225806451612903</v>
      </c>
    </row>
    <row r="89" customFormat="false" ht="13.8" hidden="false" customHeight="false" outlineLevel="0" collapsed="false">
      <c r="A89" s="1" t="n">
        <f aca="false">A88</f>
        <v>0</v>
      </c>
      <c r="B89" s="1" t="n">
        <f aca="false">B88</f>
        <v>1</v>
      </c>
      <c r="C89" s="1" t="str">
        <f aca="false">C88</f>
        <v>MARILIA</v>
      </c>
      <c r="D89" s="1" t="str">
        <f aca="false">D88</f>
        <v>MARILIA</v>
      </c>
      <c r="E89" s="1" t="str">
        <f aca="false">E88</f>
        <v>GUARANTA</v>
      </c>
      <c r="F89" s="1" t="s">
        <v>586</v>
      </c>
      <c r="N89" s="1" t="n">
        <f aca="false">SUM(N87:N88)</f>
        <v>31</v>
      </c>
      <c r="P89" s="1" t="n">
        <f aca="false">(O87*L87)+(O88*L88)</f>
        <v>55.758064516129</v>
      </c>
      <c r="Q89" s="2" t="n">
        <f aca="false">(O87*K87)+(O88*K88)</f>
        <v>63.1064516129032</v>
      </c>
    </row>
    <row r="90" customFormat="false" ht="13.8" hidden="false" customHeight="false" outlineLevel="0" collapsed="false">
      <c r="C90" s="1"/>
    </row>
    <row r="91" customFormat="false" ht="13.8" hidden="false" customHeight="false" outlineLevel="0" collapsed="false">
      <c r="A91" s="1" t="n">
        <v>0</v>
      </c>
      <c r="B91" s="1" t="n">
        <v>1</v>
      </c>
      <c r="C91" s="1" t="s">
        <v>49</v>
      </c>
      <c r="D91" s="1" t="s">
        <v>49</v>
      </c>
      <c r="E91" s="1" t="s">
        <v>309</v>
      </c>
      <c r="F91" s="1" t="s">
        <v>51</v>
      </c>
      <c r="G91" s="1" t="n">
        <v>-22.0099839</v>
      </c>
      <c r="H91" s="1" t="n">
        <v>-49.7889446</v>
      </c>
      <c r="I91" s="1" t="n">
        <v>-22.227114</v>
      </c>
      <c r="J91" s="1" t="n">
        <v>-49.9359818</v>
      </c>
      <c r="K91" s="1" t="n">
        <v>37.7</v>
      </c>
      <c r="L91" s="1" t="n">
        <v>37.7</v>
      </c>
      <c r="M91" s="1" t="s">
        <v>17</v>
      </c>
      <c r="N91" s="1" t="n">
        <v>19</v>
      </c>
      <c r="O91" s="1" t="n">
        <f aca="false">N91/N93</f>
        <v>1</v>
      </c>
    </row>
    <row r="92" customFormat="false" ht="13.8" hidden="false" customHeight="false" outlineLevel="0" collapsed="false">
      <c r="A92" s="1" t="n">
        <v>0</v>
      </c>
      <c r="B92" s="1" t="n">
        <v>1</v>
      </c>
      <c r="C92" s="1" t="s">
        <v>49</v>
      </c>
      <c r="D92" s="1" t="s">
        <v>49</v>
      </c>
      <c r="E92" s="1" t="s">
        <v>309</v>
      </c>
      <c r="F92" s="1" t="s">
        <v>52</v>
      </c>
      <c r="G92" s="1" t="n">
        <v>-22.0099839</v>
      </c>
      <c r="H92" s="1" t="n">
        <v>-49.7889446</v>
      </c>
      <c r="I92" s="1" t="n">
        <v>-22.224027</v>
      </c>
      <c r="J92" s="1" t="n">
        <v>-49.9472085</v>
      </c>
      <c r="K92" s="1" t="n">
        <v>36.4</v>
      </c>
      <c r="L92" s="1" t="n">
        <v>35.3</v>
      </c>
      <c r="M92" s="1" t="s">
        <v>17</v>
      </c>
      <c r="N92" s="1" t="n">
        <v>0</v>
      </c>
      <c r="O92" s="1" t="n">
        <f aca="false">N92/N93</f>
        <v>0</v>
      </c>
    </row>
    <row r="93" customFormat="false" ht="13.8" hidden="false" customHeight="false" outlineLevel="0" collapsed="false">
      <c r="A93" s="1" t="n">
        <f aca="false">A92</f>
        <v>0</v>
      </c>
      <c r="B93" s="1" t="n">
        <f aca="false">B92</f>
        <v>1</v>
      </c>
      <c r="C93" s="1" t="str">
        <f aca="false">C92</f>
        <v>MARILIA</v>
      </c>
      <c r="D93" s="1" t="str">
        <f aca="false">D92</f>
        <v>MARILIA</v>
      </c>
      <c r="E93" s="1" t="str">
        <f aca="false">E92</f>
        <v>JULIO MESQUITA</v>
      </c>
      <c r="F93" s="1" t="s">
        <v>586</v>
      </c>
      <c r="N93" s="1" t="n">
        <f aca="false">SUM(N91:N92)</f>
        <v>19</v>
      </c>
      <c r="P93" s="1" t="n">
        <f aca="false">(O91*L91)+(O92*L92)</f>
        <v>37.7</v>
      </c>
      <c r="Q93" s="2" t="n">
        <f aca="false">(O91*K91)+(O92*K92)</f>
        <v>37.7</v>
      </c>
    </row>
    <row r="94" customFormat="false" ht="13.8" hidden="false" customHeight="false" outlineLevel="0" collapsed="false">
      <c r="C94" s="1"/>
    </row>
    <row r="95" customFormat="false" ht="13.8" hidden="false" customHeight="false" outlineLevel="0" collapsed="false">
      <c r="A95" s="1" t="n">
        <v>0</v>
      </c>
      <c r="B95" s="1" t="n">
        <v>1</v>
      </c>
      <c r="C95" s="1" t="s">
        <v>49</v>
      </c>
      <c r="D95" s="1" t="s">
        <v>49</v>
      </c>
      <c r="E95" s="1" t="s">
        <v>322</v>
      </c>
      <c r="F95" s="1" t="s">
        <v>51</v>
      </c>
      <c r="G95" s="1" t="n">
        <v>-22.4145801</v>
      </c>
      <c r="H95" s="1" t="n">
        <v>-49.8183516</v>
      </c>
      <c r="I95" s="1" t="n">
        <v>-22.227114</v>
      </c>
      <c r="J95" s="1" t="n">
        <v>-49.9359818</v>
      </c>
      <c r="K95" s="1" t="n">
        <v>31.2</v>
      </c>
      <c r="L95" s="1" t="n">
        <v>29.3</v>
      </c>
      <c r="M95" s="1" t="s">
        <v>17</v>
      </c>
      <c r="N95" s="1" t="n">
        <v>3</v>
      </c>
      <c r="O95" s="1" t="n">
        <f aca="false">N95/N97</f>
        <v>1</v>
      </c>
    </row>
    <row r="96" customFormat="false" ht="13.8" hidden="false" customHeight="false" outlineLevel="0" collapsed="false">
      <c r="A96" s="1" t="n">
        <v>0</v>
      </c>
      <c r="B96" s="1" t="n">
        <v>1</v>
      </c>
      <c r="C96" s="1" t="s">
        <v>49</v>
      </c>
      <c r="D96" s="1" t="s">
        <v>49</v>
      </c>
      <c r="E96" s="1" t="s">
        <v>322</v>
      </c>
      <c r="F96" s="1" t="s">
        <v>52</v>
      </c>
      <c r="G96" s="1" t="n">
        <v>-22.4145801</v>
      </c>
      <c r="H96" s="1" t="n">
        <v>-49.8183516</v>
      </c>
      <c r="I96" s="1" t="n">
        <v>-22.224027</v>
      </c>
      <c r="J96" s="1" t="n">
        <v>-49.9472085</v>
      </c>
      <c r="K96" s="1" t="n">
        <v>32.2</v>
      </c>
      <c r="L96" s="1" t="n">
        <v>28.9</v>
      </c>
      <c r="M96" s="1" t="s">
        <v>17</v>
      </c>
      <c r="N96" s="1" t="n">
        <v>0</v>
      </c>
      <c r="O96" s="1" t="n">
        <f aca="false">N96/N97</f>
        <v>0</v>
      </c>
    </row>
    <row r="97" customFormat="false" ht="13.8" hidden="false" customHeight="false" outlineLevel="0" collapsed="false">
      <c r="A97" s="1" t="n">
        <f aca="false">A96</f>
        <v>0</v>
      </c>
      <c r="B97" s="1" t="n">
        <f aca="false">B96</f>
        <v>1</v>
      </c>
      <c r="C97" s="1" t="str">
        <f aca="false">C96</f>
        <v>MARILIA</v>
      </c>
      <c r="D97" s="1" t="str">
        <f aca="false">D96</f>
        <v>MARILIA</v>
      </c>
      <c r="E97" s="1" t="str">
        <f aca="false">E96</f>
        <v>LUPERCIO</v>
      </c>
      <c r="F97" s="1" t="s">
        <v>586</v>
      </c>
      <c r="N97" s="1" t="n">
        <f aca="false">SUM(N95:N96)</f>
        <v>3</v>
      </c>
      <c r="P97" s="1" t="n">
        <f aca="false">(O95*L95)+(O96*L96)</f>
        <v>29.3</v>
      </c>
      <c r="Q97" s="2" t="n">
        <f aca="false">(O95*K95)+(O96*K96)</f>
        <v>31.2</v>
      </c>
    </row>
    <row r="98" customFormat="false" ht="13.8" hidden="false" customHeight="false" outlineLevel="0" collapsed="false">
      <c r="C98" s="1"/>
    </row>
    <row r="99" customFormat="false" ht="13.8" hidden="false" customHeight="false" outlineLevel="0" collapsed="false">
      <c r="A99" s="1" t="n">
        <v>0</v>
      </c>
      <c r="B99" s="1" t="n">
        <v>1</v>
      </c>
      <c r="C99" s="1" t="s">
        <v>49</v>
      </c>
      <c r="D99" s="1" t="s">
        <v>49</v>
      </c>
      <c r="E99" s="1" t="s">
        <v>377</v>
      </c>
      <c r="F99" s="1" t="s">
        <v>51</v>
      </c>
      <c r="G99" s="1" t="n">
        <v>-22.4396255</v>
      </c>
      <c r="H99" s="1" t="n">
        <v>-49.9226712</v>
      </c>
      <c r="I99" s="1" t="n">
        <v>-22.227114</v>
      </c>
      <c r="J99" s="1" t="n">
        <v>-49.9359818</v>
      </c>
      <c r="K99" s="1" t="n">
        <v>35.5</v>
      </c>
      <c r="L99" s="1" t="n">
        <v>34.1</v>
      </c>
      <c r="M99" s="1" t="s">
        <v>17</v>
      </c>
      <c r="N99" s="1" t="n">
        <v>9</v>
      </c>
      <c r="O99" s="1" t="n">
        <f aca="false">N99/N101</f>
        <v>0.9</v>
      </c>
    </row>
    <row r="100" customFormat="false" ht="13.8" hidden="false" customHeight="false" outlineLevel="0" collapsed="false">
      <c r="A100" s="1" t="n">
        <v>0</v>
      </c>
      <c r="B100" s="1" t="n">
        <v>1</v>
      </c>
      <c r="C100" s="1" t="s">
        <v>49</v>
      </c>
      <c r="D100" s="1" t="s">
        <v>49</v>
      </c>
      <c r="E100" s="1" t="s">
        <v>377</v>
      </c>
      <c r="F100" s="1" t="s">
        <v>52</v>
      </c>
      <c r="G100" s="1" t="n">
        <v>-22.4396255</v>
      </c>
      <c r="H100" s="1" t="n">
        <v>-49.9226712</v>
      </c>
      <c r="I100" s="1" t="n">
        <v>-22.224027</v>
      </c>
      <c r="J100" s="1" t="n">
        <v>-49.9472085</v>
      </c>
      <c r="K100" s="1" t="n">
        <v>36.5</v>
      </c>
      <c r="L100" s="1" t="n">
        <v>33.7</v>
      </c>
      <c r="M100" s="1" t="s">
        <v>17</v>
      </c>
      <c r="N100" s="1" t="n">
        <v>1</v>
      </c>
      <c r="O100" s="1" t="n">
        <f aca="false">N100/N101</f>
        <v>0.1</v>
      </c>
    </row>
    <row r="101" customFormat="false" ht="13.8" hidden="false" customHeight="false" outlineLevel="0" collapsed="false">
      <c r="A101" s="1" t="n">
        <f aca="false">A100</f>
        <v>0</v>
      </c>
      <c r="B101" s="1" t="n">
        <f aca="false">B100</f>
        <v>1</v>
      </c>
      <c r="C101" s="1" t="str">
        <f aca="false">C100</f>
        <v>MARILIA</v>
      </c>
      <c r="D101" s="1" t="str">
        <f aca="false">D100</f>
        <v>MARILIA</v>
      </c>
      <c r="E101" s="1" t="str">
        <f aca="false">E100</f>
        <v>OCAUCU</v>
      </c>
      <c r="F101" s="1" t="s">
        <v>586</v>
      </c>
      <c r="N101" s="1" t="n">
        <f aca="false">SUM(N99:N100)</f>
        <v>10</v>
      </c>
      <c r="P101" s="1" t="n">
        <f aca="false">(O99*L99)+(O100*L100)</f>
        <v>34.06</v>
      </c>
      <c r="Q101" s="2" t="n">
        <f aca="false">(O99*K99)+(O100*K100)</f>
        <v>35.6</v>
      </c>
    </row>
    <row r="102" customFormat="false" ht="13.8" hidden="false" customHeight="false" outlineLevel="0" collapsed="false">
      <c r="C102" s="1"/>
    </row>
    <row r="103" customFormat="false" ht="13.8" hidden="false" customHeight="false" outlineLevel="0" collapsed="false">
      <c r="A103" s="1" t="n">
        <v>0</v>
      </c>
      <c r="B103" s="1" t="n">
        <v>1</v>
      </c>
      <c r="C103" s="1" t="s">
        <v>49</v>
      </c>
      <c r="D103" s="1" t="s">
        <v>49</v>
      </c>
      <c r="E103" s="1" t="s">
        <v>379</v>
      </c>
      <c r="F103" s="1" t="s">
        <v>51</v>
      </c>
      <c r="G103" s="1" t="n">
        <v>-22.1525442</v>
      </c>
      <c r="H103" s="1" t="n">
        <v>-50.0935645</v>
      </c>
      <c r="I103" s="1" t="n">
        <v>-22.227114</v>
      </c>
      <c r="J103" s="1" t="n">
        <v>-49.9359818</v>
      </c>
      <c r="K103" s="1" t="n">
        <v>21.8</v>
      </c>
      <c r="L103" s="1" t="n">
        <v>21.2</v>
      </c>
      <c r="M103" s="1" t="s">
        <v>17</v>
      </c>
      <c r="N103" s="1" t="n">
        <v>9</v>
      </c>
      <c r="O103" s="1" t="n">
        <f aca="false">N103/N105</f>
        <v>0.818181818181818</v>
      </c>
    </row>
    <row r="104" customFormat="false" ht="13.8" hidden="false" customHeight="false" outlineLevel="0" collapsed="false">
      <c r="A104" s="1" t="n">
        <v>0</v>
      </c>
      <c r="B104" s="1" t="n">
        <v>1</v>
      </c>
      <c r="C104" s="1" t="s">
        <v>49</v>
      </c>
      <c r="D104" s="1" t="s">
        <v>49</v>
      </c>
      <c r="E104" s="1" t="s">
        <v>379</v>
      </c>
      <c r="F104" s="1" t="s">
        <v>52</v>
      </c>
      <c r="G104" s="1" t="n">
        <v>-22.1525442</v>
      </c>
      <c r="H104" s="1" t="n">
        <v>-50.0935645</v>
      </c>
      <c r="I104" s="1" t="n">
        <v>-22.224027</v>
      </c>
      <c r="J104" s="1" t="n">
        <v>-49.9472085</v>
      </c>
      <c r="K104" s="1" t="n">
        <v>20.5</v>
      </c>
      <c r="L104" s="1" t="n">
        <v>18.8</v>
      </c>
      <c r="M104" s="1" t="s">
        <v>17</v>
      </c>
      <c r="N104" s="1" t="n">
        <v>2</v>
      </c>
      <c r="O104" s="1" t="n">
        <f aca="false">N104/N105</f>
        <v>0.181818181818182</v>
      </c>
    </row>
    <row r="105" customFormat="false" ht="13.8" hidden="false" customHeight="false" outlineLevel="0" collapsed="false">
      <c r="A105" s="1" t="n">
        <f aca="false">A104</f>
        <v>0</v>
      </c>
      <c r="B105" s="1" t="n">
        <f aca="false">B104</f>
        <v>1</v>
      </c>
      <c r="C105" s="1" t="str">
        <f aca="false">C104</f>
        <v>MARILIA</v>
      </c>
      <c r="D105" s="1" t="str">
        <f aca="false">D104</f>
        <v>MARILIA</v>
      </c>
      <c r="E105" s="1" t="str">
        <f aca="false">E104</f>
        <v>ORIENTE</v>
      </c>
      <c r="F105" s="1" t="s">
        <v>586</v>
      </c>
      <c r="N105" s="1" t="n">
        <f aca="false">SUM(N103:N104)</f>
        <v>11</v>
      </c>
      <c r="P105" s="1" t="n">
        <f aca="false">(O103*L103)+(O104*L104)</f>
        <v>20.7636363636364</v>
      </c>
      <c r="Q105" s="2" t="n">
        <f aca="false">(O103*K103)+(O104*K104)</f>
        <v>21.5636363636364</v>
      </c>
    </row>
    <row r="106" customFormat="false" ht="13.8" hidden="false" customHeight="false" outlineLevel="0" collapsed="false">
      <c r="C106" s="1"/>
    </row>
    <row r="107" customFormat="false" ht="13.8" hidden="false" customHeight="false" outlineLevel="0" collapsed="false">
      <c r="A107" s="1" t="n">
        <v>0</v>
      </c>
      <c r="B107" s="1" t="n">
        <v>1</v>
      </c>
      <c r="C107" s="1" t="s">
        <v>49</v>
      </c>
      <c r="D107" s="1" t="s">
        <v>49</v>
      </c>
      <c r="E107" s="1" t="s">
        <v>381</v>
      </c>
      <c r="F107" s="1" t="s">
        <v>51</v>
      </c>
      <c r="G107" s="1" t="n">
        <v>-22.314874</v>
      </c>
      <c r="H107" s="1" t="n">
        <v>-50.281118</v>
      </c>
      <c r="I107" s="1" t="n">
        <v>-22.227114</v>
      </c>
      <c r="J107" s="1" t="n">
        <v>-49.9359818</v>
      </c>
      <c r="K107" s="1" t="n">
        <v>44.2</v>
      </c>
      <c r="L107" s="1" t="n">
        <v>44.2</v>
      </c>
      <c r="M107" s="1" t="s">
        <v>17</v>
      </c>
      <c r="N107" s="1" t="n">
        <v>5</v>
      </c>
      <c r="O107" s="1" t="n">
        <f aca="false">N107/N109</f>
        <v>1</v>
      </c>
    </row>
    <row r="108" customFormat="false" ht="13.8" hidden="false" customHeight="false" outlineLevel="0" collapsed="false">
      <c r="A108" s="1" t="n">
        <v>0</v>
      </c>
      <c r="B108" s="1" t="n">
        <v>1</v>
      </c>
      <c r="C108" s="1" t="s">
        <v>49</v>
      </c>
      <c r="D108" s="1" t="s">
        <v>49</v>
      </c>
      <c r="E108" s="1" t="s">
        <v>381</v>
      </c>
      <c r="F108" s="1" t="s">
        <v>52</v>
      </c>
      <c r="G108" s="1" t="n">
        <v>-22.314874</v>
      </c>
      <c r="H108" s="1" t="n">
        <v>-50.281118</v>
      </c>
      <c r="I108" s="1" t="n">
        <v>-22.224027</v>
      </c>
      <c r="J108" s="1" t="n">
        <v>-49.9472085</v>
      </c>
      <c r="K108" s="1" t="n">
        <v>43.5</v>
      </c>
      <c r="L108" s="1" t="n">
        <v>43.8</v>
      </c>
      <c r="M108" s="1" t="s">
        <v>17</v>
      </c>
      <c r="N108" s="1" t="n">
        <v>0</v>
      </c>
      <c r="O108" s="1" t="n">
        <f aca="false">N108/N109</f>
        <v>0</v>
      </c>
    </row>
    <row r="109" customFormat="false" ht="13.8" hidden="false" customHeight="false" outlineLevel="0" collapsed="false">
      <c r="A109" s="1" t="n">
        <f aca="false">A108</f>
        <v>0</v>
      </c>
      <c r="B109" s="1" t="n">
        <f aca="false">B108</f>
        <v>1</v>
      </c>
      <c r="C109" s="1" t="str">
        <f aca="false">C108</f>
        <v>MARILIA</v>
      </c>
      <c r="D109" s="1" t="str">
        <f aca="false">D108</f>
        <v>MARILIA</v>
      </c>
      <c r="E109" s="1" t="str">
        <f aca="false">E108</f>
        <v>OSCAR BRESSANE</v>
      </c>
      <c r="F109" s="1" t="s">
        <v>586</v>
      </c>
      <c r="N109" s="1" t="n">
        <f aca="false">SUM(N107:N108)</f>
        <v>5</v>
      </c>
      <c r="P109" s="1" t="n">
        <f aca="false">(O107*L107)+(O108*L108)</f>
        <v>44.2</v>
      </c>
      <c r="Q109" s="2" t="n">
        <f aca="false">(O107*K107)+(O108*K108)</f>
        <v>44.2</v>
      </c>
    </row>
    <row r="110" customFormat="false" ht="13.8" hidden="false" customHeight="false" outlineLevel="0" collapsed="false">
      <c r="C110" s="1"/>
    </row>
    <row r="111" customFormat="false" ht="13.8" hidden="false" customHeight="false" outlineLevel="0" collapsed="false">
      <c r="A111" s="1" t="n">
        <v>0</v>
      </c>
      <c r="B111" s="1" t="n">
        <v>1</v>
      </c>
      <c r="C111" s="1" t="s">
        <v>49</v>
      </c>
      <c r="D111" s="1" t="s">
        <v>49</v>
      </c>
      <c r="E111" s="1" t="s">
        <v>425</v>
      </c>
      <c r="F111" s="1" t="s">
        <v>51</v>
      </c>
      <c r="G111" s="1" t="n">
        <v>-22.1088293</v>
      </c>
      <c r="H111" s="1" t="n">
        <v>-50.1720753</v>
      </c>
      <c r="I111" s="1" t="n">
        <v>-22.227114</v>
      </c>
      <c r="J111" s="1" t="n">
        <v>-49.9359818</v>
      </c>
      <c r="K111" s="1" t="n">
        <v>31.5</v>
      </c>
      <c r="L111" s="1" t="n">
        <v>28.3</v>
      </c>
      <c r="M111" s="1" t="s">
        <v>17</v>
      </c>
      <c r="N111" s="1" t="n">
        <v>6</v>
      </c>
      <c r="O111" s="1" t="n">
        <f aca="false">N111/N113</f>
        <v>0.75</v>
      </c>
    </row>
    <row r="112" customFormat="false" ht="13.8" hidden="false" customHeight="false" outlineLevel="0" collapsed="false">
      <c r="A112" s="1" t="n">
        <v>0</v>
      </c>
      <c r="B112" s="1" t="n">
        <v>1</v>
      </c>
      <c r="C112" s="1" t="s">
        <v>49</v>
      </c>
      <c r="D112" s="1" t="s">
        <v>49</v>
      </c>
      <c r="E112" s="1" t="s">
        <v>425</v>
      </c>
      <c r="F112" s="1" t="s">
        <v>52</v>
      </c>
      <c r="G112" s="1" t="n">
        <v>-22.1088293</v>
      </c>
      <c r="H112" s="1" t="n">
        <v>-50.1720753</v>
      </c>
      <c r="I112" s="1" t="n">
        <v>-22.224027</v>
      </c>
      <c r="J112" s="1" t="n">
        <v>-49.9472085</v>
      </c>
      <c r="K112" s="1" t="n">
        <v>30.2</v>
      </c>
      <c r="L112" s="1" t="n">
        <v>25.9</v>
      </c>
      <c r="M112" s="1" t="s">
        <v>17</v>
      </c>
      <c r="N112" s="1" t="n">
        <v>2</v>
      </c>
      <c r="O112" s="1" t="n">
        <f aca="false">N112/N113</f>
        <v>0.25</v>
      </c>
    </row>
    <row r="113" customFormat="false" ht="13.8" hidden="false" customHeight="false" outlineLevel="0" collapsed="false">
      <c r="A113" s="1" t="n">
        <f aca="false">A112</f>
        <v>0</v>
      </c>
      <c r="B113" s="1" t="n">
        <f aca="false">B112</f>
        <v>1</v>
      </c>
      <c r="C113" s="1" t="str">
        <f aca="false">C112</f>
        <v>MARILIA</v>
      </c>
      <c r="D113" s="1" t="str">
        <f aca="false">D112</f>
        <v>MARILIA</v>
      </c>
      <c r="E113" s="1" t="str">
        <f aca="false">E112</f>
        <v>POMPEIA</v>
      </c>
      <c r="F113" s="1" t="s">
        <v>586</v>
      </c>
      <c r="N113" s="1" t="n">
        <f aca="false">SUM(N111:N112)</f>
        <v>8</v>
      </c>
      <c r="P113" s="1" t="n">
        <f aca="false">(O111*L111)+(O112*L112)</f>
        <v>27.7</v>
      </c>
      <c r="Q113" s="2" t="n">
        <f aca="false">(O111*K111)+(O112*K112)</f>
        <v>31.175</v>
      </c>
    </row>
    <row r="114" customFormat="false" ht="13.8" hidden="false" customHeight="false" outlineLevel="0" collapsed="false">
      <c r="C114" s="1"/>
    </row>
    <row r="115" customFormat="false" ht="13.8" hidden="false" customHeight="false" outlineLevel="0" collapsed="false">
      <c r="A115" s="1" t="n">
        <v>0</v>
      </c>
      <c r="B115" s="1" t="n">
        <v>1</v>
      </c>
      <c r="C115" s="1" t="s">
        <v>49</v>
      </c>
      <c r="D115" s="1" t="s">
        <v>49</v>
      </c>
      <c r="E115" s="1" t="s">
        <v>444</v>
      </c>
      <c r="F115" s="1" t="s">
        <v>51</v>
      </c>
      <c r="G115" s="1" t="n">
        <v>-22.0705513</v>
      </c>
      <c r="H115" s="1" t="n">
        <v>-50.308652</v>
      </c>
      <c r="I115" s="1" t="n">
        <v>-22.227114</v>
      </c>
      <c r="J115" s="1" t="n">
        <v>-49.9359818</v>
      </c>
      <c r="K115" s="1" t="n">
        <v>49.3</v>
      </c>
      <c r="L115" s="1" t="n">
        <v>43.1</v>
      </c>
      <c r="M115" s="1" t="s">
        <v>17</v>
      </c>
      <c r="N115" s="1" t="n">
        <v>17</v>
      </c>
      <c r="O115" s="1" t="n">
        <f aca="false">N115/N117</f>
        <v>0.85</v>
      </c>
    </row>
    <row r="116" customFormat="false" ht="13.8" hidden="false" customHeight="false" outlineLevel="0" collapsed="false">
      <c r="A116" s="1" t="n">
        <v>0</v>
      </c>
      <c r="B116" s="1" t="n">
        <v>1</v>
      </c>
      <c r="C116" s="1" t="s">
        <v>49</v>
      </c>
      <c r="D116" s="1" t="s">
        <v>49</v>
      </c>
      <c r="E116" s="1" t="s">
        <v>444</v>
      </c>
      <c r="F116" s="1" t="s">
        <v>52</v>
      </c>
      <c r="G116" s="1" t="n">
        <v>-22.0705513</v>
      </c>
      <c r="H116" s="1" t="n">
        <v>-50.308652</v>
      </c>
      <c r="I116" s="1" t="n">
        <v>-22.224027</v>
      </c>
      <c r="J116" s="1" t="n">
        <v>-49.9472085</v>
      </c>
      <c r="K116" s="1" t="n">
        <v>48</v>
      </c>
      <c r="L116" s="1" t="n">
        <v>40.7</v>
      </c>
      <c r="M116" s="1" t="s">
        <v>17</v>
      </c>
      <c r="N116" s="1" t="n">
        <v>3</v>
      </c>
      <c r="O116" s="1" t="n">
        <f aca="false">N116/N117</f>
        <v>0.15</v>
      </c>
    </row>
    <row r="117" customFormat="false" ht="13.8" hidden="false" customHeight="false" outlineLevel="0" collapsed="false">
      <c r="A117" s="1" t="n">
        <f aca="false">A116</f>
        <v>0</v>
      </c>
      <c r="B117" s="1" t="n">
        <f aca="false">B116</f>
        <v>1</v>
      </c>
      <c r="C117" s="1" t="str">
        <f aca="false">C116</f>
        <v>MARILIA</v>
      </c>
      <c r="D117" s="1" t="str">
        <f aca="false">D116</f>
        <v>MARILIA</v>
      </c>
      <c r="E117" s="1" t="str">
        <f aca="false">E116</f>
        <v>QUINTANA</v>
      </c>
      <c r="F117" s="1" t="s">
        <v>586</v>
      </c>
      <c r="N117" s="1" t="n">
        <f aca="false">SUM(N115:N116)</f>
        <v>20</v>
      </c>
      <c r="P117" s="1" t="n">
        <f aca="false">(O115*L115)+(O116*L116)</f>
        <v>42.74</v>
      </c>
      <c r="Q117" s="2" t="n">
        <f aca="false">(O115*K115)+(O116*K116)</f>
        <v>49.105</v>
      </c>
    </row>
    <row r="118" customFormat="false" ht="13.8" hidden="false" customHeight="false" outlineLevel="0" collapsed="false">
      <c r="C118" s="1"/>
    </row>
    <row r="119" customFormat="false" ht="13.8" hidden="false" customHeight="false" outlineLevel="0" collapsed="false">
      <c r="A119" s="1" t="n">
        <v>0</v>
      </c>
      <c r="B119" s="1" t="n">
        <v>1</v>
      </c>
      <c r="C119" s="1" t="s">
        <v>49</v>
      </c>
      <c r="D119" s="1" t="s">
        <v>49</v>
      </c>
      <c r="E119" s="1" t="s">
        <v>563</v>
      </c>
      <c r="F119" s="1" t="s">
        <v>51</v>
      </c>
      <c r="G119" s="1" t="n">
        <v>-22.5261054</v>
      </c>
      <c r="H119" s="1" t="n">
        <v>-49.6635412</v>
      </c>
      <c r="I119" s="1" t="n">
        <v>-22.227114</v>
      </c>
      <c r="J119" s="1" t="n">
        <v>-49.9359818</v>
      </c>
      <c r="K119" s="1" t="n">
        <v>60.8</v>
      </c>
      <c r="L119" s="1" t="n">
        <v>61.7</v>
      </c>
      <c r="M119" s="1" t="s">
        <v>17</v>
      </c>
      <c r="N119" s="1" t="n">
        <v>7</v>
      </c>
      <c r="O119" s="1" t="n">
        <f aca="false">N119/N121</f>
        <v>0.875</v>
      </c>
    </row>
    <row r="120" customFormat="false" ht="13.8" hidden="false" customHeight="false" outlineLevel="0" collapsed="false">
      <c r="A120" s="1" t="n">
        <v>0</v>
      </c>
      <c r="B120" s="1" t="n">
        <v>1</v>
      </c>
      <c r="C120" s="1" t="s">
        <v>49</v>
      </c>
      <c r="D120" s="1" t="s">
        <v>49</v>
      </c>
      <c r="E120" s="1" t="s">
        <v>563</v>
      </c>
      <c r="F120" s="1" t="s">
        <v>52</v>
      </c>
      <c r="G120" s="1" t="n">
        <v>-22.5261054</v>
      </c>
      <c r="H120" s="1" t="n">
        <v>-49.6635412</v>
      </c>
      <c r="I120" s="1" t="n">
        <v>-22.224027</v>
      </c>
      <c r="J120" s="1" t="n">
        <v>-49.9472085</v>
      </c>
      <c r="K120" s="1" t="n">
        <v>61.8</v>
      </c>
      <c r="L120" s="1" t="n">
        <v>61.3</v>
      </c>
      <c r="M120" s="1" t="s">
        <v>17</v>
      </c>
      <c r="N120" s="1" t="n">
        <v>1</v>
      </c>
      <c r="O120" s="1" t="n">
        <f aca="false">N120/N121</f>
        <v>0.125</v>
      </c>
    </row>
    <row r="121" customFormat="false" ht="13.8" hidden="false" customHeight="false" outlineLevel="0" collapsed="false">
      <c r="A121" s="1" t="n">
        <f aca="false">A120</f>
        <v>0</v>
      </c>
      <c r="B121" s="1" t="n">
        <f aca="false">B120</f>
        <v>1</v>
      </c>
      <c r="C121" s="1" t="str">
        <f aca="false">C120</f>
        <v>MARILIA</v>
      </c>
      <c r="D121" s="1" t="str">
        <f aca="false">D120</f>
        <v>MARILIA</v>
      </c>
      <c r="E121" s="1" t="str">
        <f aca="false">E120</f>
        <v>UBIRAJARA</v>
      </c>
      <c r="F121" s="1" t="s">
        <v>586</v>
      </c>
      <c r="N121" s="1" t="n">
        <f aca="false">SUM(N119:N120)</f>
        <v>8</v>
      </c>
      <c r="P121" s="1" t="n">
        <f aca="false">(O119*L119)+(O120*L120)</f>
        <v>61.65</v>
      </c>
      <c r="Q121" s="2" t="n">
        <f aca="false">(O119*K119)+(O120*K120)</f>
        <v>60.925</v>
      </c>
    </row>
    <row r="122" customFormat="false" ht="13.8" hidden="false" customHeight="false" outlineLevel="0" collapsed="false">
      <c r="C122" s="1"/>
    </row>
    <row r="123" customFormat="false" ht="13.8" hidden="false" customHeight="false" outlineLevel="0" collapsed="false">
      <c r="A123" s="1" t="n">
        <v>0</v>
      </c>
      <c r="B123" s="1" t="n">
        <v>1</v>
      </c>
      <c r="C123" s="1" t="s">
        <v>49</v>
      </c>
      <c r="D123" s="1" t="s">
        <v>49</v>
      </c>
      <c r="E123" s="1" t="s">
        <v>575</v>
      </c>
      <c r="F123" s="1" t="s">
        <v>52</v>
      </c>
      <c r="G123" s="1" t="n">
        <v>-22.2212638</v>
      </c>
      <c r="H123" s="1" t="n">
        <v>-49.8243021</v>
      </c>
      <c r="I123" s="1" t="n">
        <v>-22.224027</v>
      </c>
      <c r="J123" s="1" t="n">
        <v>-49.9472085</v>
      </c>
      <c r="K123" s="1" t="n">
        <v>14.6</v>
      </c>
      <c r="L123" s="1" t="n">
        <v>15.2</v>
      </c>
      <c r="M123" s="1" t="s">
        <v>17</v>
      </c>
      <c r="N123" s="1" t="n">
        <v>2</v>
      </c>
      <c r="O123" s="1" t="n">
        <f aca="false">N123/N125</f>
        <v>0.153846153846154</v>
      </c>
    </row>
    <row r="124" customFormat="false" ht="13.8" hidden="false" customHeight="false" outlineLevel="0" collapsed="false">
      <c r="A124" s="1" t="n">
        <v>0</v>
      </c>
      <c r="B124" s="1" t="n">
        <v>1</v>
      </c>
      <c r="C124" s="1" t="s">
        <v>49</v>
      </c>
      <c r="D124" s="1" t="s">
        <v>49</v>
      </c>
      <c r="E124" s="1" t="s">
        <v>575</v>
      </c>
      <c r="F124" s="1" t="s">
        <v>51</v>
      </c>
      <c r="G124" s="1" t="n">
        <v>-22.2212638</v>
      </c>
      <c r="H124" s="1" t="n">
        <v>-49.8243021</v>
      </c>
      <c r="I124" s="1" t="n">
        <v>-22.227114</v>
      </c>
      <c r="J124" s="1" t="n">
        <v>-49.9359818</v>
      </c>
      <c r="K124" s="1" t="n">
        <v>12.7</v>
      </c>
      <c r="L124" s="1" t="n">
        <v>13.6</v>
      </c>
      <c r="M124" s="1" t="s">
        <v>17</v>
      </c>
      <c r="N124" s="1" t="n">
        <v>11</v>
      </c>
      <c r="O124" s="1" t="n">
        <f aca="false">N124/N125</f>
        <v>0.846153846153846</v>
      </c>
    </row>
    <row r="125" customFormat="false" ht="13.8" hidden="false" customHeight="false" outlineLevel="0" collapsed="false">
      <c r="A125" s="1" t="n">
        <f aca="false">A124</f>
        <v>0</v>
      </c>
      <c r="B125" s="1" t="n">
        <f aca="false">B124</f>
        <v>1</v>
      </c>
      <c r="C125" s="1" t="str">
        <f aca="false">C124</f>
        <v>MARILIA</v>
      </c>
      <c r="D125" s="1" t="str">
        <f aca="false">D124</f>
        <v>MARILIA</v>
      </c>
      <c r="E125" s="1" t="str">
        <f aca="false">E124</f>
        <v>VERA CRUZ</v>
      </c>
      <c r="F125" s="1" t="s">
        <v>586</v>
      </c>
      <c r="N125" s="1" t="n">
        <f aca="false">SUM(N123:N124)</f>
        <v>13</v>
      </c>
      <c r="P125" s="1" t="n">
        <f aca="false">(O123*L123)+(O124*L124)</f>
        <v>13.8461538461538</v>
      </c>
      <c r="Q125" s="2" t="n">
        <f aca="false">(O123*K123)+(O124*K124)</f>
        <v>12.9923076923077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3" activeCellId="0" sqref="I33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4" min="4" style="1" width="10.14"/>
    <col collapsed="false" customWidth="true" hidden="false" outlineLevel="0" max="5" min="5" style="1" width="19.11"/>
    <col collapsed="false" customWidth="true" hidden="false" outlineLevel="0" max="6" min="6" style="1" width="16.47"/>
    <col collapsed="false" customWidth="true" hidden="false" outlineLevel="0" max="7" min="7" style="1" width="9.41"/>
    <col collapsed="false" customWidth="true" hidden="false" outlineLevel="0" max="8" min="8" style="1" width="9.85"/>
    <col collapsed="false" customWidth="true" hidden="false" outlineLevel="0" max="9" min="9" style="1" width="9.3"/>
    <col collapsed="false" customWidth="true" hidden="false" outlineLevel="0" max="10" min="10" style="1" width="9.73"/>
    <col collapsed="false" customWidth="true" hidden="false" outlineLevel="0" max="11" min="11" style="1" width="14.37"/>
    <col collapsed="false" customWidth="true" hidden="false" outlineLevel="0" max="12" min="12" style="1" width="16.8"/>
    <col collapsed="false" customWidth="true" hidden="false" outlineLevel="0" max="13" min="13" style="1" width="13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s">
        <v>30</v>
      </c>
      <c r="D2" s="1" t="s">
        <v>30</v>
      </c>
      <c r="E2" s="1" t="s">
        <v>31</v>
      </c>
      <c r="F2" s="1" t="s">
        <v>586</v>
      </c>
      <c r="G2" s="1" t="n">
        <v>-22.4719836</v>
      </c>
      <c r="H2" s="1" t="n">
        <v>-48.9884476</v>
      </c>
      <c r="I2" s="1" t="n">
        <v>-22.3305675</v>
      </c>
      <c r="J2" s="1" t="n">
        <v>-49.0775289</v>
      </c>
      <c r="K2" s="4" t="n">
        <v>22.2076923076923</v>
      </c>
      <c r="L2" s="5" t="n">
        <v>19.6153846153846</v>
      </c>
    </row>
    <row r="3" customFormat="false" ht="13.8" hidden="false" customHeight="false" outlineLevel="0" collapsed="false">
      <c r="A3" s="1" t="n">
        <v>0</v>
      </c>
      <c r="B3" s="1" t="n">
        <v>1</v>
      </c>
      <c r="C3" s="1" t="s">
        <v>30</v>
      </c>
      <c r="D3" s="1" t="s">
        <v>30</v>
      </c>
      <c r="E3" s="1" t="s">
        <v>76</v>
      </c>
      <c r="F3" s="1" t="s">
        <v>586</v>
      </c>
      <c r="G3" s="1" t="n">
        <v>-22.0301906</v>
      </c>
      <c r="H3" s="1" t="n">
        <v>-48.9111936</v>
      </c>
      <c r="I3" s="1" t="n">
        <v>-22.3088056</v>
      </c>
      <c r="J3" s="1" t="n">
        <v>-49.0897729</v>
      </c>
      <c r="K3" s="4" t="n">
        <v>43.6050847457627</v>
      </c>
      <c r="L3" s="5" t="n">
        <v>38.806779661017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s">
        <v>30</v>
      </c>
      <c r="D4" s="1" t="s">
        <v>30</v>
      </c>
      <c r="E4" s="1" t="s">
        <v>88</v>
      </c>
      <c r="F4" s="1" t="s">
        <v>586</v>
      </c>
      <c r="G4" s="1" t="n">
        <v>-22.1564662</v>
      </c>
      <c r="H4" s="1" t="n">
        <v>-49.3316395</v>
      </c>
      <c r="I4" s="1" t="n">
        <v>-22.3088056</v>
      </c>
      <c r="J4" s="1" t="n">
        <v>-49.0897729</v>
      </c>
      <c r="K4" s="4" t="n">
        <v>40.6</v>
      </c>
      <c r="L4" s="5" t="n">
        <v>33.9</v>
      </c>
    </row>
    <row r="5" customFormat="false" ht="13.8" hidden="false" customHeight="false" outlineLevel="0" collapsed="false">
      <c r="A5" s="1" t="n">
        <v>0</v>
      </c>
      <c r="B5" s="1" t="n">
        <v>1</v>
      </c>
      <c r="C5" s="1" t="s">
        <v>30</v>
      </c>
      <c r="D5" s="1" t="s">
        <v>30</v>
      </c>
      <c r="E5" s="1" t="s">
        <v>257</v>
      </c>
      <c r="F5" s="1" t="s">
        <v>586</v>
      </c>
      <c r="G5" s="1" t="n">
        <v>-21.8928341</v>
      </c>
      <c r="H5" s="1" t="n">
        <v>-49.0226082</v>
      </c>
      <c r="I5" s="1" t="n">
        <v>-22.3088056</v>
      </c>
      <c r="J5" s="1" t="n">
        <v>-49.0897729</v>
      </c>
      <c r="K5" s="4" t="n">
        <v>50.7939393939394</v>
      </c>
      <c r="L5" s="5" t="n">
        <v>40.7424242424242</v>
      </c>
    </row>
    <row r="6" customFormat="false" ht="13.8" hidden="false" customHeight="false" outlineLevel="0" collapsed="false">
      <c r="A6" s="1" t="n">
        <v>0</v>
      </c>
      <c r="B6" s="1" t="n">
        <v>1</v>
      </c>
      <c r="C6" s="1" t="s">
        <v>30</v>
      </c>
      <c r="D6" s="1" t="s">
        <v>30</v>
      </c>
      <c r="E6" s="1" t="s">
        <v>587</v>
      </c>
      <c r="F6" s="1" t="s">
        <v>586</v>
      </c>
      <c r="G6" s="1" t="n">
        <v>-23.4346441</v>
      </c>
      <c r="H6" s="1" t="n">
        <v>-46.5157181</v>
      </c>
      <c r="I6" s="1" t="n">
        <v>-22.3088056</v>
      </c>
      <c r="J6" s="1" t="n">
        <v>-49.0897729</v>
      </c>
      <c r="K6" s="4" t="n">
        <v>34.1609756097561</v>
      </c>
      <c r="L6" s="5" t="n">
        <v>35.1463414634146</v>
      </c>
    </row>
    <row r="7" customFormat="false" ht="13.8" hidden="false" customHeight="false" outlineLevel="0" collapsed="false">
      <c r="A7" s="1" t="n">
        <v>0</v>
      </c>
      <c r="B7" s="1" t="n">
        <v>1</v>
      </c>
      <c r="C7" s="1" t="s">
        <v>30</v>
      </c>
      <c r="D7" s="1" t="s">
        <v>30</v>
      </c>
      <c r="E7" s="1" t="s">
        <v>419</v>
      </c>
      <c r="F7" s="1" t="s">
        <v>586</v>
      </c>
      <c r="G7" s="1" t="n">
        <v>-22.4136363</v>
      </c>
      <c r="H7" s="1" t="n">
        <v>-49.1351479</v>
      </c>
      <c r="I7" s="1" t="n">
        <v>-22.3305675</v>
      </c>
      <c r="J7" s="1" t="n">
        <v>-49.0775289</v>
      </c>
      <c r="K7" s="4" t="n">
        <v>13.1</v>
      </c>
      <c r="L7" s="5" t="n">
        <v>17.075</v>
      </c>
    </row>
    <row r="8" customFormat="false" ht="13.8" hidden="false" customHeight="false" outlineLevel="0" collapsed="false">
      <c r="A8" s="1" t="n">
        <v>0</v>
      </c>
      <c r="B8" s="1" t="n">
        <v>1</v>
      </c>
      <c r="C8" s="1" t="s">
        <v>82</v>
      </c>
      <c r="D8" s="1" t="s">
        <v>143</v>
      </c>
      <c r="E8" s="1" t="s">
        <v>144</v>
      </c>
      <c r="F8" s="1" t="s">
        <v>586</v>
      </c>
      <c r="G8" s="1" t="n">
        <v>-23.3076663</v>
      </c>
      <c r="H8" s="1" t="n">
        <v>-47.1324726</v>
      </c>
      <c r="I8" s="1" t="n">
        <v>-23.1838628</v>
      </c>
      <c r="J8" s="1" t="n">
        <v>-46.8899187</v>
      </c>
      <c r="K8" s="4" t="n">
        <v>36.02</v>
      </c>
      <c r="L8" s="5" t="n">
        <v>33.26</v>
      </c>
    </row>
    <row r="9" customFormat="false" ht="13.8" hidden="false" customHeight="false" outlineLevel="0" collapsed="false">
      <c r="A9" s="1" t="n">
        <v>0</v>
      </c>
      <c r="B9" s="1" t="n">
        <v>1</v>
      </c>
      <c r="C9" s="1" t="s">
        <v>82</v>
      </c>
      <c r="D9" s="1" t="s">
        <v>143</v>
      </c>
      <c r="E9" s="1" t="s">
        <v>158</v>
      </c>
      <c r="F9" s="1" t="s">
        <v>586</v>
      </c>
      <c r="G9" s="1" t="n">
        <v>-23.207791</v>
      </c>
      <c r="H9" s="1" t="n">
        <v>-46.788919</v>
      </c>
      <c r="I9" s="1" t="n">
        <v>-23.1838628</v>
      </c>
      <c r="J9" s="1" t="n">
        <v>-46.8899187</v>
      </c>
      <c r="K9" s="4" t="n">
        <v>14.1642857142857</v>
      </c>
      <c r="L9" s="5" t="n">
        <v>18.6928571428571</v>
      </c>
    </row>
    <row r="10" customFormat="false" ht="13.8" hidden="false" customHeight="false" outlineLevel="0" collapsed="false">
      <c r="A10" s="1" t="n">
        <v>0</v>
      </c>
      <c r="B10" s="1" t="n">
        <v>1</v>
      </c>
      <c r="C10" s="1" t="s">
        <v>82</v>
      </c>
      <c r="D10" s="1" t="s">
        <v>143</v>
      </c>
      <c r="E10" s="1" t="s">
        <v>294</v>
      </c>
      <c r="F10" s="1" t="s">
        <v>586</v>
      </c>
      <c r="G10" s="1" t="n">
        <v>-23.1531055</v>
      </c>
      <c r="H10" s="1" t="n">
        <v>-47.0580347</v>
      </c>
      <c r="I10" s="1" t="n">
        <v>-23.1838628</v>
      </c>
      <c r="J10" s="1" t="n">
        <v>-46.8899187</v>
      </c>
      <c r="K10" s="4" t="n">
        <v>22.3625</v>
      </c>
      <c r="L10" s="5" t="n">
        <v>24.0375</v>
      </c>
    </row>
    <row r="11" customFormat="false" ht="13.8" hidden="false" customHeight="false" outlineLevel="0" collapsed="false">
      <c r="A11" s="1" t="n">
        <v>0</v>
      </c>
      <c r="B11" s="1" t="n">
        <v>1</v>
      </c>
      <c r="C11" s="1" t="s">
        <v>82</v>
      </c>
      <c r="D11" s="1" t="s">
        <v>143</v>
      </c>
      <c r="E11" s="1" t="s">
        <v>302</v>
      </c>
      <c r="F11" s="1" t="s">
        <v>586</v>
      </c>
      <c r="G11" s="1" t="n">
        <v>-23.0949649</v>
      </c>
      <c r="H11" s="1" t="n">
        <v>-46.7148565</v>
      </c>
      <c r="I11" s="1" t="n">
        <v>-23.1838628</v>
      </c>
      <c r="J11" s="1" t="n">
        <v>-46.8899187</v>
      </c>
      <c r="K11" s="4" t="n">
        <v>29.22</v>
      </c>
      <c r="L11" s="5" t="n">
        <v>33.408</v>
      </c>
    </row>
    <row r="12" customFormat="false" ht="13.8" hidden="false" customHeight="false" outlineLevel="0" collapsed="false">
      <c r="A12" s="1" t="n">
        <v>0</v>
      </c>
      <c r="B12" s="1" t="n">
        <v>1</v>
      </c>
      <c r="C12" s="1" t="s">
        <v>82</v>
      </c>
      <c r="D12" s="1" t="s">
        <v>143</v>
      </c>
      <c r="E12" s="1" t="s">
        <v>317</v>
      </c>
      <c r="F12" s="1" t="s">
        <v>586</v>
      </c>
      <c r="G12" s="1" t="n">
        <v>-23.08639</v>
      </c>
      <c r="H12" s="1" t="n">
        <v>-46.95056</v>
      </c>
      <c r="I12" s="1" t="n">
        <v>-23.1838628</v>
      </c>
      <c r="J12" s="1" t="n">
        <v>-46.8899187</v>
      </c>
      <c r="K12" s="4" t="n">
        <v>14.5454545454545</v>
      </c>
      <c r="L12" s="5" t="n">
        <v>16.3363636363636</v>
      </c>
    </row>
    <row r="13" customFormat="false" ht="13.8" hidden="false" customHeight="false" outlineLevel="0" collapsed="false">
      <c r="A13" s="1" t="n">
        <v>0</v>
      </c>
      <c r="B13" s="1" t="n">
        <v>1</v>
      </c>
      <c r="C13" s="1" t="s">
        <v>82</v>
      </c>
      <c r="D13" s="1" t="s">
        <v>143</v>
      </c>
      <c r="E13" s="1" t="s">
        <v>574</v>
      </c>
      <c r="F13" s="1" t="s">
        <v>586</v>
      </c>
      <c r="G13" s="1" t="n">
        <v>-23.2113889</v>
      </c>
      <c r="H13" s="1" t="n">
        <v>-46.8283333</v>
      </c>
      <c r="I13" s="1" t="n">
        <v>-23.1838628</v>
      </c>
      <c r="J13" s="1" t="n">
        <v>-46.8899187</v>
      </c>
      <c r="K13" s="4" t="n">
        <v>8.78095238095238</v>
      </c>
      <c r="L13" s="5" t="n">
        <v>13.0095238095238</v>
      </c>
    </row>
    <row r="14" customFormat="false" ht="13.8" hidden="false" customHeight="false" outlineLevel="0" collapsed="false">
      <c r="A14" s="1" t="n">
        <v>0</v>
      </c>
      <c r="B14" s="1" t="n">
        <v>1</v>
      </c>
      <c r="C14" s="1" t="s">
        <v>49</v>
      </c>
      <c r="D14" s="1" t="s">
        <v>49</v>
      </c>
      <c r="E14" s="1" t="s">
        <v>50</v>
      </c>
      <c r="F14" s="1" t="s">
        <v>586</v>
      </c>
      <c r="G14" s="1" t="n">
        <v>-22.0787992</v>
      </c>
      <c r="H14" s="1" t="n">
        <v>-49.7194861</v>
      </c>
      <c r="I14" s="1" t="n">
        <v>-22.227114</v>
      </c>
      <c r="J14" s="1" t="n">
        <v>-49.9359818</v>
      </c>
      <c r="K14" s="4" t="n">
        <v>49</v>
      </c>
      <c r="L14" s="5" t="n">
        <v>45.7666666666667</v>
      </c>
    </row>
    <row r="15" customFormat="false" ht="13.8" hidden="false" customHeight="false" outlineLevel="0" collapsed="false">
      <c r="A15" s="1" t="n">
        <v>0</v>
      </c>
      <c r="B15" s="1" t="n">
        <v>1</v>
      </c>
      <c r="C15" s="1" t="s">
        <v>49</v>
      </c>
      <c r="D15" s="1" t="s">
        <v>49</v>
      </c>
      <c r="E15" s="1" t="s">
        <v>53</v>
      </c>
      <c r="F15" s="1" t="s">
        <v>586</v>
      </c>
      <c r="G15" s="1" t="n">
        <v>-22.4431852</v>
      </c>
      <c r="H15" s="1" t="n">
        <v>-49.7643596</v>
      </c>
      <c r="I15" s="1" t="n">
        <v>-22.227114</v>
      </c>
      <c r="J15" s="1" t="n">
        <v>-49.9359818</v>
      </c>
      <c r="K15" s="4" t="n">
        <v>43.3</v>
      </c>
      <c r="L15" s="5" t="n">
        <v>42.1</v>
      </c>
    </row>
    <row r="16" customFormat="false" ht="13.8" hidden="false" customHeight="false" outlineLevel="0" collapsed="false">
      <c r="A16" s="1" t="n">
        <v>0</v>
      </c>
      <c r="B16" s="1" t="n">
        <v>1</v>
      </c>
      <c r="C16" s="1" t="s">
        <v>49</v>
      </c>
      <c r="D16" s="1" t="s">
        <v>49</v>
      </c>
      <c r="E16" s="1" t="s">
        <v>159</v>
      </c>
      <c r="F16" s="1" t="s">
        <v>586</v>
      </c>
      <c r="G16" s="1" t="n">
        <v>-22.601952</v>
      </c>
      <c r="H16" s="1" t="n">
        <v>-49.998726</v>
      </c>
      <c r="I16" s="1" t="n">
        <v>-22.227114</v>
      </c>
      <c r="J16" s="1" t="n">
        <v>-49.9359818</v>
      </c>
      <c r="K16" s="4" t="n">
        <v>61.9285714285714</v>
      </c>
      <c r="L16" s="5" t="n">
        <v>53.8428571428571</v>
      </c>
    </row>
    <row r="17" customFormat="false" ht="13.8" hidden="false" customHeight="false" outlineLevel="0" collapsed="false">
      <c r="A17" s="1" t="n">
        <v>0</v>
      </c>
      <c r="B17" s="1" t="n">
        <v>1</v>
      </c>
      <c r="C17" s="1" t="s">
        <v>49</v>
      </c>
      <c r="D17" s="1" t="s">
        <v>49</v>
      </c>
      <c r="E17" s="1" t="s">
        <v>208</v>
      </c>
      <c r="F17" s="1" t="s">
        <v>586</v>
      </c>
      <c r="G17" s="1" t="n">
        <v>-22.4325855</v>
      </c>
      <c r="H17" s="1" t="n">
        <v>-50.2037693</v>
      </c>
      <c r="I17" s="1" t="n">
        <v>-22.227114</v>
      </c>
      <c r="J17" s="1" t="n">
        <v>-49.9359818</v>
      </c>
      <c r="K17" s="4" t="n">
        <v>41.9</v>
      </c>
      <c r="L17" s="5" t="n">
        <v>38.9</v>
      </c>
    </row>
    <row r="18" customFormat="false" ht="13.8" hidden="false" customHeight="false" outlineLevel="0" collapsed="false">
      <c r="A18" s="1" t="n">
        <v>0</v>
      </c>
      <c r="B18" s="1" t="n">
        <v>1</v>
      </c>
      <c r="C18" s="1" t="s">
        <v>49</v>
      </c>
      <c r="D18" s="1" t="s">
        <v>49</v>
      </c>
      <c r="E18" s="1" t="s">
        <v>224</v>
      </c>
      <c r="F18" s="1" t="s">
        <v>586</v>
      </c>
      <c r="G18" s="1" t="n">
        <v>-22.3595388</v>
      </c>
      <c r="H18" s="1" t="n">
        <v>-49.5209504</v>
      </c>
      <c r="I18" s="1" t="n">
        <v>-22.227114</v>
      </c>
      <c r="J18" s="1" t="n">
        <v>-49.9359818</v>
      </c>
      <c r="K18" s="4" t="n">
        <v>58.6375</v>
      </c>
      <c r="L18" s="5" t="n">
        <v>53.6</v>
      </c>
    </row>
    <row r="19" customFormat="false" ht="13.8" hidden="false" customHeight="false" outlineLevel="0" collapsed="false">
      <c r="A19" s="1" t="n">
        <v>0</v>
      </c>
      <c r="B19" s="1" t="n">
        <v>1</v>
      </c>
      <c r="C19" s="1" t="s">
        <v>49</v>
      </c>
      <c r="D19" s="1" t="s">
        <v>49</v>
      </c>
      <c r="E19" s="1" t="s">
        <v>232</v>
      </c>
      <c r="F19" s="1" t="s">
        <v>586</v>
      </c>
      <c r="G19" s="1" t="n">
        <v>-22.2936976</v>
      </c>
      <c r="H19" s="1" t="n">
        <v>-49.5516228</v>
      </c>
      <c r="I19" s="1" t="n">
        <v>-22.227114</v>
      </c>
      <c r="J19" s="1" t="n">
        <v>-49.9359818</v>
      </c>
      <c r="K19" s="4" t="n">
        <v>50.3</v>
      </c>
      <c r="L19" s="5" t="n">
        <v>41.3</v>
      </c>
    </row>
    <row r="20" customFormat="false" ht="13.8" hidden="false" customHeight="false" outlineLevel="0" collapsed="false">
      <c r="A20" s="1" t="n">
        <v>0</v>
      </c>
      <c r="B20" s="1" t="n">
        <v>1</v>
      </c>
      <c r="C20" s="1" t="s">
        <v>49</v>
      </c>
      <c r="D20" s="1" t="s">
        <v>49</v>
      </c>
      <c r="E20" s="1" t="s">
        <v>233</v>
      </c>
      <c r="F20" s="1" t="s">
        <v>586</v>
      </c>
      <c r="G20" s="1" t="n">
        <v>-22.2125766</v>
      </c>
      <c r="H20" s="1" t="n">
        <v>-49.6547994</v>
      </c>
      <c r="I20" s="1" t="n">
        <v>-22.227114</v>
      </c>
      <c r="J20" s="1" t="n">
        <v>-49.9359818</v>
      </c>
      <c r="K20" s="4" t="n">
        <v>31.6797297297297</v>
      </c>
      <c r="L20" s="5" t="n">
        <v>28.1513513513514</v>
      </c>
    </row>
    <row r="21" customFormat="false" ht="13.8" hidden="false" customHeight="false" outlineLevel="0" collapsed="false">
      <c r="A21" s="1" t="n">
        <v>0</v>
      </c>
      <c r="B21" s="1" t="n">
        <v>1</v>
      </c>
      <c r="C21" s="1" t="s">
        <v>49</v>
      </c>
      <c r="D21" s="1" t="s">
        <v>49</v>
      </c>
      <c r="E21" s="1" t="s">
        <v>240</v>
      </c>
      <c r="F21" s="1" t="s">
        <v>586</v>
      </c>
      <c r="G21" s="1" t="n">
        <v>-21.909072</v>
      </c>
      <c r="H21" s="1" t="n">
        <v>-49.89861</v>
      </c>
      <c r="I21" s="1" t="n">
        <v>-22.227114</v>
      </c>
      <c r="J21" s="1" t="n">
        <v>-49.9359818</v>
      </c>
      <c r="K21" s="4" t="n">
        <v>43.7176470588235</v>
      </c>
      <c r="L21" s="5" t="n">
        <v>45.0588235294118</v>
      </c>
    </row>
    <row r="22" customFormat="false" ht="13.8" hidden="false" customHeight="false" outlineLevel="0" collapsed="false">
      <c r="A22" s="1" t="n">
        <v>0</v>
      </c>
      <c r="B22" s="1" t="n">
        <v>1</v>
      </c>
      <c r="C22" s="1" t="s">
        <v>49</v>
      </c>
      <c r="D22" s="1" t="s">
        <v>49</v>
      </c>
      <c r="E22" s="1" t="s">
        <v>244</v>
      </c>
      <c r="F22" s="1" t="s">
        <v>586</v>
      </c>
      <c r="G22" s="1" t="n">
        <v>-21.8950705</v>
      </c>
      <c r="H22" s="1" t="n">
        <v>-49.590107</v>
      </c>
      <c r="I22" s="1" t="n">
        <v>-22.227114</v>
      </c>
      <c r="J22" s="1" t="n">
        <v>-49.9359818</v>
      </c>
      <c r="K22" s="4" t="n">
        <v>63.1064516129032</v>
      </c>
      <c r="L22" s="5" t="n">
        <v>55.758064516129</v>
      </c>
    </row>
    <row r="23" customFormat="false" ht="13.8" hidden="false" customHeight="false" outlineLevel="0" collapsed="false">
      <c r="A23" s="1" t="n">
        <v>0</v>
      </c>
      <c r="B23" s="1" t="n">
        <v>1</v>
      </c>
      <c r="C23" s="1" t="s">
        <v>49</v>
      </c>
      <c r="D23" s="1" t="s">
        <v>49</v>
      </c>
      <c r="E23" s="1" t="s">
        <v>309</v>
      </c>
      <c r="F23" s="1" t="s">
        <v>586</v>
      </c>
      <c r="G23" s="1" t="n">
        <v>-22.0099839</v>
      </c>
      <c r="H23" s="1" t="n">
        <v>-49.7889446</v>
      </c>
      <c r="I23" s="1" t="n">
        <v>-22.227114</v>
      </c>
      <c r="J23" s="1" t="n">
        <v>-49.9359818</v>
      </c>
      <c r="K23" s="4" t="n">
        <v>37.7</v>
      </c>
      <c r="L23" s="5" t="n">
        <v>37.7</v>
      </c>
    </row>
    <row r="24" customFormat="false" ht="13.8" hidden="false" customHeight="false" outlineLevel="0" collapsed="false">
      <c r="A24" s="1" t="n">
        <v>0</v>
      </c>
      <c r="B24" s="1" t="n">
        <v>1</v>
      </c>
      <c r="C24" s="1" t="s">
        <v>49</v>
      </c>
      <c r="D24" s="1" t="s">
        <v>49</v>
      </c>
      <c r="E24" s="1" t="s">
        <v>322</v>
      </c>
      <c r="F24" s="1" t="s">
        <v>586</v>
      </c>
      <c r="G24" s="1" t="n">
        <v>-22.4145801</v>
      </c>
      <c r="H24" s="1" t="n">
        <v>-49.8183516</v>
      </c>
      <c r="I24" s="1" t="n">
        <v>-22.227114</v>
      </c>
      <c r="J24" s="1" t="n">
        <v>-49.9359818</v>
      </c>
      <c r="K24" s="4" t="n">
        <v>31.2</v>
      </c>
      <c r="L24" s="5" t="n">
        <v>29.3</v>
      </c>
    </row>
    <row r="25" customFormat="false" ht="13.8" hidden="false" customHeight="false" outlineLevel="0" collapsed="false">
      <c r="A25" s="1" t="n">
        <v>0</v>
      </c>
      <c r="B25" s="1" t="n">
        <v>1</v>
      </c>
      <c r="C25" s="1" t="s">
        <v>49</v>
      </c>
      <c r="D25" s="1" t="s">
        <v>49</v>
      </c>
      <c r="E25" s="1" t="s">
        <v>377</v>
      </c>
      <c r="F25" s="1" t="s">
        <v>586</v>
      </c>
      <c r="G25" s="1" t="n">
        <v>-22.4396255</v>
      </c>
      <c r="H25" s="1" t="n">
        <v>-49.9226712</v>
      </c>
      <c r="I25" s="1" t="n">
        <v>-22.227114</v>
      </c>
      <c r="J25" s="1" t="n">
        <v>-49.9359818</v>
      </c>
      <c r="K25" s="4" t="n">
        <v>35.6</v>
      </c>
      <c r="L25" s="5" t="n">
        <v>34.06</v>
      </c>
    </row>
    <row r="26" customFormat="false" ht="13.8" hidden="false" customHeight="false" outlineLevel="0" collapsed="false">
      <c r="A26" s="1" t="n">
        <v>0</v>
      </c>
      <c r="B26" s="1" t="n">
        <v>1</v>
      </c>
      <c r="C26" s="1" t="s">
        <v>49</v>
      </c>
      <c r="D26" s="1" t="s">
        <v>49</v>
      </c>
      <c r="E26" s="1" t="s">
        <v>379</v>
      </c>
      <c r="F26" s="1" t="s">
        <v>586</v>
      </c>
      <c r="G26" s="1" t="n">
        <v>-22.1525442</v>
      </c>
      <c r="H26" s="1" t="n">
        <v>-50.0935645</v>
      </c>
      <c r="I26" s="1" t="n">
        <v>-22.227114</v>
      </c>
      <c r="J26" s="1" t="n">
        <v>-49.9359818</v>
      </c>
      <c r="K26" s="4" t="n">
        <v>21.5636363636364</v>
      </c>
      <c r="L26" s="5" t="n">
        <v>20.7636363636364</v>
      </c>
    </row>
    <row r="27" customFormat="false" ht="13.8" hidden="false" customHeight="false" outlineLevel="0" collapsed="false">
      <c r="A27" s="1" t="n">
        <v>0</v>
      </c>
      <c r="B27" s="1" t="n">
        <v>1</v>
      </c>
      <c r="C27" s="1" t="s">
        <v>49</v>
      </c>
      <c r="D27" s="1" t="s">
        <v>49</v>
      </c>
      <c r="E27" s="1" t="s">
        <v>381</v>
      </c>
      <c r="F27" s="1" t="s">
        <v>586</v>
      </c>
      <c r="G27" s="1" t="n">
        <v>-22.314874</v>
      </c>
      <c r="H27" s="1" t="n">
        <v>-50.281118</v>
      </c>
      <c r="I27" s="1" t="n">
        <v>-22.227114</v>
      </c>
      <c r="J27" s="1" t="n">
        <v>-49.9359818</v>
      </c>
      <c r="K27" s="4" t="n">
        <v>44.2</v>
      </c>
      <c r="L27" s="5" t="n">
        <v>44.2</v>
      </c>
    </row>
    <row r="28" customFormat="false" ht="13.8" hidden="false" customHeight="false" outlineLevel="0" collapsed="false">
      <c r="A28" s="1" t="n">
        <v>0</v>
      </c>
      <c r="B28" s="1" t="n">
        <v>1</v>
      </c>
      <c r="C28" s="1" t="s">
        <v>49</v>
      </c>
      <c r="D28" s="1" t="s">
        <v>49</v>
      </c>
      <c r="E28" s="1" t="s">
        <v>425</v>
      </c>
      <c r="F28" s="1" t="s">
        <v>586</v>
      </c>
      <c r="G28" s="1" t="n">
        <v>-22.1088293</v>
      </c>
      <c r="H28" s="1" t="n">
        <v>-50.1720753</v>
      </c>
      <c r="I28" s="1" t="n">
        <v>-22.227114</v>
      </c>
      <c r="J28" s="1" t="n">
        <v>-49.9359818</v>
      </c>
      <c r="K28" s="4" t="n">
        <v>31.175</v>
      </c>
      <c r="L28" s="5" t="n">
        <v>27.7</v>
      </c>
    </row>
    <row r="29" customFormat="false" ht="13.8" hidden="false" customHeight="false" outlineLevel="0" collapsed="false">
      <c r="A29" s="1" t="n">
        <v>0</v>
      </c>
      <c r="B29" s="1" t="n">
        <v>1</v>
      </c>
      <c r="C29" s="1" t="s">
        <v>49</v>
      </c>
      <c r="D29" s="1" t="s">
        <v>49</v>
      </c>
      <c r="E29" s="1" t="s">
        <v>444</v>
      </c>
      <c r="F29" s="1" t="s">
        <v>586</v>
      </c>
      <c r="G29" s="1" t="n">
        <v>-22.0705513</v>
      </c>
      <c r="H29" s="1" t="n">
        <v>-50.308652</v>
      </c>
      <c r="I29" s="1" t="n">
        <v>-22.227114</v>
      </c>
      <c r="J29" s="1" t="n">
        <v>-49.9359818</v>
      </c>
      <c r="K29" s="4" t="n">
        <v>49.105</v>
      </c>
      <c r="L29" s="5" t="n">
        <v>42.74</v>
      </c>
    </row>
    <row r="30" customFormat="false" ht="13.8" hidden="false" customHeight="false" outlineLevel="0" collapsed="false">
      <c r="A30" s="1" t="n">
        <v>0</v>
      </c>
      <c r="B30" s="1" t="n">
        <v>1</v>
      </c>
      <c r="C30" s="1" t="s">
        <v>49</v>
      </c>
      <c r="D30" s="1" t="s">
        <v>49</v>
      </c>
      <c r="E30" s="1" t="s">
        <v>563</v>
      </c>
      <c r="F30" s="1" t="s">
        <v>586</v>
      </c>
      <c r="G30" s="1" t="n">
        <v>-22.5261054</v>
      </c>
      <c r="H30" s="1" t="n">
        <v>-49.6635412</v>
      </c>
      <c r="I30" s="1" t="n">
        <v>-22.227114</v>
      </c>
      <c r="J30" s="1" t="n">
        <v>-49.9359818</v>
      </c>
      <c r="K30" s="4" t="n">
        <v>60.925</v>
      </c>
      <c r="L30" s="5" t="n">
        <v>61.65</v>
      </c>
    </row>
    <row r="31" customFormat="false" ht="13.8" hidden="false" customHeight="false" outlineLevel="0" collapsed="false">
      <c r="A31" s="1" t="n">
        <v>0</v>
      </c>
      <c r="B31" s="1" t="n">
        <v>1</v>
      </c>
      <c r="C31" s="1" t="s">
        <v>49</v>
      </c>
      <c r="D31" s="1" t="s">
        <v>49</v>
      </c>
      <c r="E31" s="1" t="s">
        <v>575</v>
      </c>
      <c r="F31" s="1" t="s">
        <v>586</v>
      </c>
      <c r="G31" s="1" t="n">
        <v>-22.2212638</v>
      </c>
      <c r="H31" s="1" t="n">
        <v>-49.8243021</v>
      </c>
      <c r="I31" s="1" t="n">
        <v>-22.227114</v>
      </c>
      <c r="J31" s="1" t="n">
        <v>-49.9359818</v>
      </c>
      <c r="K31" s="4" t="n">
        <v>12.9923076923077</v>
      </c>
      <c r="L31" s="5" t="n">
        <v>13.8461538461538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2026-05-31T23:02:28Z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